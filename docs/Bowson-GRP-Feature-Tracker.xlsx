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28695" windowHeight="15090"/>
  </bookViews>
  <sheets>
    <sheet name="Feature Tracker" sheetId="1" r:id="rId1"/>
    <sheet name="Summary" sheetId="4" r:id="rId2"/>
    <sheet name="Sheet2" sheetId="2" r:id="rId3"/>
    <sheet name="Sheet3" sheetId="3" r:id="rId4"/>
  </sheets>
  <definedNames>
    <definedName name="_xlnm._FilterDatabase" localSheetId="0" hidden="1">'Feature Tracker'!$A$1:$F$1</definedName>
  </definedNames>
  <calcPr calcId="124519"/>
</workbook>
</file>

<file path=xl/calcChain.xml><?xml version="1.0" encoding="utf-8"?>
<calcChain xmlns="http://schemas.openxmlformats.org/spreadsheetml/2006/main">
  <c r="B7" i="4"/>
  <c r="B6"/>
  <c r="B5"/>
</calcChain>
</file>

<file path=xl/sharedStrings.xml><?xml version="1.0" encoding="utf-8"?>
<sst xmlns="http://schemas.openxmlformats.org/spreadsheetml/2006/main" count="327" uniqueCount="185">
  <si>
    <t>#</t>
  </si>
  <si>
    <t>Module</t>
  </si>
  <si>
    <t>Feature</t>
  </si>
  <si>
    <t>Description</t>
  </si>
  <si>
    <t>Status</t>
  </si>
  <si>
    <t>Notes</t>
  </si>
  <si>
    <t>Platform &amp; Access</t>
  </si>
  <si>
    <t>Cloud-hosted multi-user system</t>
  </si>
  <si>
    <t>Runs in any modern web browser on PCs, laptops and tablets. Office and shop floor work on the same live data at the same time.</t>
  </si>
  <si>
    <t>Completed</t>
  </si>
  <si>
    <t>Secure login accounts</t>
  </si>
  <si>
    <t>Every user signs in with their own account.</t>
  </si>
  <si>
    <t>Role-based access levels</t>
  </si>
  <si>
    <t>Admin, Manager and Operative levels. Operatives can work tickets on the shop floor but cannot create or delete orders, change settings or edit the catalogue.</t>
  </si>
  <si>
    <t>Manager PIN protection</t>
  </si>
  <si>
    <t>Sensitive actions (deleting orders, releasing orders, board unlock, standalone tickets) require a changeable manager PIN.</t>
  </si>
  <si>
    <t>Full audit trail</t>
  </si>
  <si>
    <t>Every stage change is recorded - what changed, from what, to what and when - visible on each order and ticket.</t>
  </si>
  <si>
    <t>Dashboard</t>
  </si>
  <si>
    <t>Live KPI cards</t>
  </si>
  <si>
    <t>Active orders, orders pending, slides in production, parts in production, moulds in use and total man-hours remaining.</t>
  </si>
  <si>
    <t>Cannot Produce alerts</t>
  </si>
  <si>
    <t>Warns when tickets are blocked - mould in maintenance, or no mould assigned - with direct links to fix.</t>
  </si>
  <si>
    <t>Overdue orders table</t>
  </si>
  <si>
    <t>All overdue orders listed with days overdue, sorted by deadline.</t>
  </si>
  <si>
    <t>Recent orders with progress</t>
  </si>
  <si>
    <t>Latest orders with live progress bars and deadlines.</t>
  </si>
  <si>
    <t>Hours remaining by stage</t>
  </si>
  <si>
    <t>Shows where the workload sits across the production pipeline.</t>
  </si>
  <si>
    <t>8-week capacity outlook</t>
  </si>
  <si>
    <t>Committed hours vs available hours per week with over-capacity warnings.</t>
  </si>
  <si>
    <t>Live lead-time calculation</t>
  </si>
  <si>
    <t>Current lead time calculated from live workload and team capacity.</t>
  </si>
  <si>
    <t>Stage capacity check</t>
  </si>
  <si>
    <t>For this week and next - shows whether enough trained staff are available for each stage.</t>
  </si>
  <si>
    <t>T-Card Board</t>
  </si>
  <si>
    <t>Digital drag-and-drop board</t>
  </si>
  <si>
    <t>Full-screen shop-floor board with all 10 production stages. Drag a card to move a job; everything updates automatically.</t>
  </si>
  <si>
    <t>View by stage or by operative</t>
  </si>
  <si>
    <t>See the pipeline by production stage, or exactly what each team member is working on.</t>
  </si>
  <si>
    <t>Time tracking</t>
  </si>
  <si>
    <t>Operatives start/stop timers on tickets; every work session is recorded with live running clocks.</t>
  </si>
  <si>
    <t>Cure timers</t>
  </si>
  <si>
    <t>Gel-coat and laminating cure countdowns shown on cards, with product-specific default times.</t>
  </si>
  <si>
    <t>Cure prompt on stage change</t>
  </si>
  <si>
    <t>Dragging into Gel Coat / Laminating asks for the cure time (with presets); "needs more time" option when a cure is not ready.</t>
  </si>
  <si>
    <t>Right-click quick menu</t>
  </si>
  <si>
    <t>Assign/unassign operatives and stop all timers straight from a card.</t>
  </si>
  <si>
    <t>Bulk assign and bulk stage move</t>
  </si>
  <si>
    <t>Select several cards and assign an operative or move them all to a stage in one action.</t>
  </si>
  <si>
    <t>Order colour coding</t>
  </si>
  <si>
    <t>Each order gets a colour palette so its cards are recognisable at a glance across the board.</t>
  </si>
  <si>
    <t>View specification from card</t>
  </si>
  <si>
    <t>Open the product spec document straight from a ticket card.</t>
  </si>
  <si>
    <t>PIN-locked screen</t>
  </si>
  <si>
    <t>Board locks against accidental changes; manager PIN unlocks.</t>
  </si>
  <si>
    <t>Orders</t>
  </si>
  <si>
    <t>Guided two-step order creation</t>
  </si>
  <si>
    <t>Enter order details, then add items picked from the catalogue by name, code or SKU - prices and hours fill in automatically.</t>
  </si>
  <si>
    <t>Suggested schedule</t>
  </si>
  <si>
    <t>System suggests a production week and delivery date based on real factory capacity - accept with one click.</t>
  </si>
  <si>
    <t>Order list with filters and export</t>
  </si>
  <si>
    <t>Search, per-column filters, status filter, progress bars, deadline countdowns, overdue badges, CSV export and pagination.</t>
  </si>
  <si>
    <t>Bulk order import</t>
  </si>
  <si>
    <t>Load many orders from a spreadsheet - downloadable template, automatic checking and preview before saving.</t>
  </si>
  <si>
    <t>Pending order release</t>
  </si>
  <si>
    <t>Review pending orders and release them to production - ticket numbers are issued at release.</t>
  </si>
  <si>
    <t>Order detail page</t>
  </si>
  <si>
    <t>Everything about one order in one place - status, customer, deadline, value, tickets, colour theme images and full change history.</t>
  </si>
  <si>
    <t>Edit orders and tickets</t>
  </si>
  <si>
    <t>Order details and individual tickets can be edited after creation.</t>
  </si>
  <si>
    <t>Delete order (PIN-protected)</t>
  </si>
  <si>
    <t>Whole order deletion with manager PIN and explicit confirmation.</t>
  </si>
  <si>
    <t>Bulk advance within an order</t>
  </si>
  <si>
    <t>Tick tickets on the order page and advance them one stage or straight to a chosen stage.</t>
  </si>
  <si>
    <t>Production Workflow</t>
  </si>
  <si>
    <t>Four ticket types</t>
  </si>
  <si>
    <t>Bought-in materials (RAW), single slides (MADE), assemblies (COMP) and their parts (PART).</t>
  </si>
  <si>
    <t>Automatic assembly roll-up</t>
  </si>
  <si>
    <t>Assemblies show "Awaiting Parts (x/y)" until parts pass QC, then move to Assembly automatically; progress averages the parts.</t>
  </si>
  <si>
    <t>Automatic progress %</t>
  </si>
  <si>
    <t>Every stage carries a completion percentage so progress bars are always consistent.</t>
  </si>
  <si>
    <t>Despatch family gate</t>
  </si>
  <si>
    <t>An assembly and all its parts must be at Ready to Despatch before despatching - with a logged manager override.</t>
  </si>
  <si>
    <t>QC reference gate</t>
  </si>
  <si>
    <t>Tickets cannot enter Packing without a QC reference; the system prompts for one.</t>
  </si>
  <si>
    <t>Packing hardware checklist</t>
  </si>
  <si>
    <t>Advancing to Packing shows the product hardware checklist (bolt packs, feet, supports) to tick off, with quantities and notes saved.</t>
  </si>
  <si>
    <t>Return to production override</t>
  </si>
  <si>
    <t>A despatched ticket can be brought back to QC by a manager (PIN + confirmation, logged).</t>
  </si>
  <si>
    <t>Despatch &amp; Invoicing</t>
  </si>
  <si>
    <t>Despatch station</t>
  </si>
  <si>
    <t>Ready to Despatch screen with ticket selection and one-click despatch of full or part orders.</t>
  </si>
  <si>
    <t>Partial despatch handling</t>
  </si>
  <si>
    <t>Warns when not all items are selected; despatch note is flagged PARTIAL; invoice held until the full order ships.</t>
  </si>
  <si>
    <t>Delivery note generation</t>
  </si>
  <si>
    <t>Printable delivery note created automatically at despatch.</t>
  </si>
  <si>
    <t>Invoice generation</t>
  </si>
  <si>
    <t>Printable invoice raised when the order fully ships; printing the invoice marks the order Completed.</t>
  </si>
  <si>
    <t>Reprints</t>
  </si>
  <si>
    <t>Reprint delivery notes and invoice copies for past orders at any time.</t>
  </si>
  <si>
    <t>Planning &amp; Schedule</t>
  </si>
  <si>
    <t>16-week capacity planner</t>
  </si>
  <si>
    <t>Every operative, day by day, week by week - click any day to adjust.</t>
  </si>
  <si>
    <t>Week-specific overrides</t>
  </si>
  <si>
    <t>Set different hours for a single week (holidays, overtime) without changing the standard pattern.</t>
  </si>
  <si>
    <t>Skills matrix</t>
  </si>
  <si>
    <t>Record which stages each operative is trained for; feeds the stage capacity checks.</t>
  </si>
  <si>
    <t>Weekly schedule cards</t>
  </si>
  <si>
    <t>Every ticket booked into each week with utilisation bars and overload warnings.</t>
  </si>
  <si>
    <t>Schedule history</t>
  </si>
  <si>
    <t>Week-by-week record of tickets, committed hours and utilisation.</t>
  </si>
  <si>
    <t>Hours export</t>
  </si>
  <si>
    <t>Export operative hours over a date range to a spreadsheet.</t>
  </si>
  <si>
    <t>Moulds</t>
  </si>
  <si>
    <t>Mould register</t>
  </si>
  <si>
    <t>Every mould with reference, capacity, status and notes - spreadsheet import and export.</t>
  </si>
  <si>
    <t>Live mould board</t>
  </si>
  <si>
    <t>Free / partial / full / maintenance status for every mould, with what is in it now and what is queued.</t>
  </si>
  <si>
    <t>Mould schedule</t>
  </si>
  <si>
    <t>Week-by-week timeline of which jobs occupy which moulds.</t>
  </si>
  <si>
    <t>Smart auto-advance</t>
  </si>
  <si>
    <t>Assigning a free mould to a queued ticket moves it into Gel Coat automatically; will not overfill or use a maintenance mould.</t>
  </si>
  <si>
    <t>Tickets without mould list</t>
  </si>
  <si>
    <t>Jobs that cannot proceed without a mould, with one-click assignment.</t>
  </si>
  <si>
    <t>Catalogue part-mould linking</t>
  </si>
  <si>
    <t>Link catalogue parts to their default moulds directly from the mould planner.</t>
  </si>
  <si>
    <t>Product Catalogue</t>
  </si>
  <si>
    <t>Product templates</t>
  </si>
  <si>
    <t>Define each product once (code, name, SKU, price, hours) and reuse on every order - single slides and multi-part assemblies.</t>
  </si>
  <si>
    <t>Hardware and cure times</t>
  </si>
  <si>
    <t>Packing hardware lists and standard gel/laminating cure minutes per product.</t>
  </si>
  <si>
    <t>Specification documents</t>
  </si>
  <si>
    <t>Attach a spec sheet (PDF/image) to any product; black-and-white print view for the shop floor.</t>
  </si>
  <si>
    <t>SKU auto-generator</t>
  </si>
  <si>
    <t>Builds shop-floor SKUs from product names in bulk, with preview before saving.</t>
  </si>
  <si>
    <t>Catalogue import/export</t>
  </si>
  <si>
    <t>Spreadsheet import wizard (with template) and full CSV export.</t>
  </si>
  <si>
    <t>Customers &amp; Team</t>
  </si>
  <si>
    <t>Customer directory</t>
  </si>
  <si>
    <t>Contacts with phone, email, region and address; instant search; quick-add from the order form.</t>
  </si>
  <si>
    <t>Operative profiles</t>
  </si>
  <si>
    <t>Name, hourly rate, standard weekly pattern (Mon-Sun) and stage skills.</t>
  </si>
  <si>
    <t>Stage completion weightings</t>
  </si>
  <si>
    <t>Managers tune how much labour remains at each stage - drives man-hours and lead-time calculations.</t>
  </si>
  <si>
    <t>Search</t>
  </si>
  <si>
    <t>Global search bar</t>
  </si>
  <si>
    <t>On every page - type a ticket number, order number, site or item and jump straight to it.</t>
  </si>
  <si>
    <t>Full search page</t>
  </si>
  <si>
    <t>All matching orders and tickets together, click through to details.</t>
  </si>
  <si>
    <t>Hide maintenance moulds in all dropdowns</t>
  </si>
  <si>
    <t>Maintenance moulds are hidden in the mould planner assign list but still appear in the order-page and ticket-popup dropdowns.</t>
  </si>
  <si>
    <t>Live status in mould register</t>
  </si>
  <si>
    <t>Register status column shows Active/Maintenance; original tool showed live Free/Partial/Full occupancy.</t>
  </si>
  <si>
    <t>Bowson GRP - Feature Tracker</t>
  </si>
  <si>
    <t>Prepared 11 July 2026 - status as delivered</t>
  </si>
  <si>
    <t>Count</t>
  </si>
  <si>
    <t>Completed (included in project)</t>
  </si>
  <si>
    <t>Planned (minor improvements)</t>
  </si>
  <si>
    <t>Proposed (new requests to quote)</t>
  </si>
  <si>
    <t>How to use this sheet</t>
  </si>
  <si>
    <t>1. The Feature Tracker tab lists every feature in the system, grouped by module.</t>
  </si>
  <si>
    <t>2. Status meanings:</t>
  </si>
  <si>
    <t xml:space="preserve">     Completed - delivered and included in the current project price.</t>
  </si>
  <si>
    <t xml:space="preserve">     Planned   - agreed minor improvement, in progress at no extra charge unless stated.</t>
  </si>
  <si>
    <t xml:space="preserve">     Proposed  - a new feature request awaiting a quote.</t>
  </si>
  <si>
    <t>3. To request a new feature: add a row under Future Enhancements, describe it, set Status to Proposed. The agreed price is entered in the Pricing (£) column.</t>
  </si>
  <si>
    <t>4. Once a proposed feature is agreed and delivered, its status changes to Completed.</t>
  </si>
  <si>
    <t>Included</t>
  </si>
  <si>
    <t>Delivered 11/07/2026 - maintenance moulds now hidden in the order-page and ticket-popup mould dropdowns (the currently-assigned mould stays visible).</t>
  </si>
  <si>
    <t>Delivered 11/07/2026 - register Status column now shows live Free/Partial/Full/Maintenance with an In use count, matching the mould board.</t>
  </si>
  <si>
    <t>Recommended enhancements</t>
  </si>
  <si>
    <t>Server-side enforcement of Packing &amp; QC gates</t>
  </si>
  <si>
    <t>The packing-checklist and QC-reference rules are enforced in the app screens today (as in the original tool). Add matching enforcement in the backend so the rules also hold for bulk actions and any future integrations.</t>
  </si>
  <si>
    <t>Proposed</t>
  </si>
  <si>
    <t>Quote on request</t>
  </si>
  <si>
    <t>Optional - app already matches the original tool; this is a further improvement.</t>
  </si>
  <si>
    <t>Report skipped tickets in bulk advance</t>
  </si>
  <si>
    <t>When a bulk stage-move skips tickets that are blocked by a rule, list exactly which ones were skipped and why (currently it reports only the moved count).</t>
  </si>
  <si>
    <t>PIN-protect single ticket deletion</t>
  </si>
  <si>
    <t>Deleting a whole order already needs the manager PIN; extend the same protection to deleting an individual ticket.</t>
  </si>
  <si>
    <t>Live cure countdown on the Mould board</t>
  </si>
  <si>
    <t>Cure timers tick live on the T-Card board; make them tick live on the Mould board view too.</t>
  </si>
  <si>
    <t>Include customers in global search</t>
  </si>
  <si>
    <t>The top-bar search covers orders and tickets; add customers so a customer name jumps straight to their record.</t>
  </si>
</sst>
</file>

<file path=xl/styles.xml><?xml version="1.0" encoding="utf-8"?>
<styleSheet xmlns="http://schemas.openxmlformats.org/spreadsheetml/2006/main">
  <fonts count="7">
    <font>
      <sz val="11"/>
      <color theme="1"/>
      <name val="Calibri"/>
      <family val="2"/>
      <scheme val="minor"/>
    </font>
    <font>
      <b/>
      <sz val="11"/>
      <color theme="1"/>
      <name val="Calibri"/>
      <family val="2"/>
      <scheme val="minor"/>
    </font>
    <font>
      <b/>
      <sz val="11"/>
      <color rgb="FFFFFFFF"/>
      <name val="Calibri"/>
      <family val="2"/>
      <scheme val="minor"/>
    </font>
    <font>
      <b/>
      <sz val="11"/>
      <color rgb="FF0C6B50"/>
      <name val="Calibri"/>
      <family val="2"/>
      <scheme val="minor"/>
    </font>
    <font>
      <b/>
      <sz val="16"/>
      <color theme="1"/>
      <name val="Calibri"/>
      <family val="2"/>
      <scheme val="minor"/>
    </font>
    <font>
      <sz val="11"/>
      <color rgb="FF808080"/>
      <name val="Calibri"/>
      <family val="2"/>
      <scheme val="minor"/>
    </font>
    <font>
      <b/>
      <sz val="11"/>
      <color rgb="FF1559A0"/>
      <name val="Calibri"/>
      <family val="2"/>
      <scheme val="minor"/>
    </font>
  </fonts>
  <fills count="5">
    <fill>
      <patternFill patternType="none"/>
    </fill>
    <fill>
      <patternFill patternType="gray125"/>
    </fill>
    <fill>
      <patternFill patternType="solid">
        <fgColor rgb="FF0C6B50"/>
        <bgColor indexed="64"/>
      </patternFill>
    </fill>
    <fill>
      <patternFill patternType="solid">
        <fgColor rgb="FFDFF2EB"/>
        <bgColor indexed="64"/>
      </patternFill>
    </fill>
    <fill>
      <patternFill patternType="solid">
        <fgColor rgb="FFE8F1FA"/>
        <bgColor indexed="64"/>
      </patternFill>
    </fill>
  </fills>
  <borders count="2">
    <border>
      <left/>
      <right/>
      <top/>
      <bottom/>
      <diagonal/>
    </border>
    <border>
      <left style="thin">
        <color rgb="FFD1D1D1"/>
      </left>
      <right style="thin">
        <color rgb="FFD1D1D1"/>
      </right>
      <top style="thin">
        <color rgb="FFD1D1D1"/>
      </top>
      <bottom style="thin">
        <color rgb="FFD1D1D1"/>
      </bottom>
      <diagonal/>
    </border>
  </borders>
  <cellStyleXfs count="1">
    <xf numFmtId="0" fontId="0" fillId="0" borderId="0"/>
  </cellStyleXfs>
  <cellXfs count="15">
    <xf numFmtId="0" fontId="0" fillId="0" borderId="0" xfId="0"/>
    <xf numFmtId="0" fontId="1" fillId="0" borderId="0" xfId="0" applyFont="1"/>
    <xf numFmtId="0" fontId="2" fillId="2" borderId="0" xfId="0" applyFont="1" applyFill="1"/>
    <xf numFmtId="0" fontId="0" fillId="0" borderId="0" xfId="0" applyAlignment="1">
      <alignment wrapText="1"/>
    </xf>
    <xf numFmtId="0" fontId="2" fillId="2" borderId="1" xfId="0" applyFont="1" applyFill="1" applyBorder="1" applyAlignment="1">
      <alignment vertical="top"/>
    </xf>
    <xf numFmtId="0" fontId="2" fillId="2" borderId="1" xfId="0" applyFont="1"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3" fillId="3" borderId="1" xfId="0" applyFont="1" applyFill="1" applyBorder="1" applyAlignment="1">
      <alignment vertical="top"/>
    </xf>
    <xf numFmtId="0" fontId="4" fillId="0" borderId="0" xfId="0" applyFont="1"/>
    <xf numFmtId="0" fontId="5" fillId="0" borderId="0" xfId="0" applyFont="1"/>
    <xf numFmtId="0" fontId="0" fillId="0" borderId="1" xfId="0" applyFill="1" applyBorder="1"/>
    <xf numFmtId="0" fontId="0" fillId="0" borderId="0" xfId="0" applyBorder="1" applyAlignment="1">
      <alignment vertical="top"/>
    </xf>
    <xf numFmtId="0" fontId="0" fillId="0" borderId="0" xfId="0" applyBorder="1" applyAlignment="1">
      <alignment vertical="top" wrapText="1"/>
    </xf>
    <xf numFmtId="0" fontId="6" fillId="4" borderId="0" xfId="0" applyFont="1" applyFill="1"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74"/>
  <sheetViews>
    <sheetView tabSelected="1" workbookViewId="0">
      <pane ySplit="1" topLeftCell="A53" activePane="bottomLeft" state="frozenSplit"/>
      <selection pane="bottomLeft" activeCell="H53" sqref="H53"/>
    </sheetView>
  </sheetViews>
  <sheetFormatPr defaultRowHeight="15"/>
  <cols>
    <col min="1" max="1" width="5.7109375" customWidth="1"/>
    <col min="2" max="2" width="20.7109375" customWidth="1"/>
    <col min="3" max="3" width="34.7109375" customWidth="1"/>
    <col min="4" max="4" width="72.7109375" style="3" customWidth="1"/>
    <col min="5" max="5" width="12.7109375" customWidth="1"/>
    <col min="6" max="6" width="34.7109375" style="3" customWidth="1"/>
  </cols>
  <sheetData>
    <row r="1" spans="1:6">
      <c r="A1" s="4" t="s">
        <v>0</v>
      </c>
      <c r="B1" s="4" t="s">
        <v>1</v>
      </c>
      <c r="C1" s="4" t="s">
        <v>2</v>
      </c>
      <c r="D1" s="5" t="s">
        <v>3</v>
      </c>
      <c r="E1" s="4" t="s">
        <v>4</v>
      </c>
      <c r="F1" s="5" t="s">
        <v>5</v>
      </c>
    </row>
    <row r="2" spans="1:6" ht="30">
      <c r="A2" s="6">
        <v>1</v>
      </c>
      <c r="B2" s="6" t="s">
        <v>6</v>
      </c>
      <c r="C2" s="6" t="s">
        <v>7</v>
      </c>
      <c r="D2" s="7" t="s">
        <v>8</v>
      </c>
      <c r="E2" s="8" t="s">
        <v>9</v>
      </c>
      <c r="F2" s="7"/>
    </row>
    <row r="3" spans="1:6">
      <c r="A3" s="6">
        <v>2</v>
      </c>
      <c r="B3" s="6" t="s">
        <v>6</v>
      </c>
      <c r="C3" s="6" t="s">
        <v>10</v>
      </c>
      <c r="D3" s="7" t="s">
        <v>11</v>
      </c>
      <c r="E3" s="8" t="s">
        <v>9</v>
      </c>
      <c r="F3" s="7"/>
    </row>
    <row r="4" spans="1:6" ht="30">
      <c r="A4" s="6">
        <v>3</v>
      </c>
      <c r="B4" s="6" t="s">
        <v>6</v>
      </c>
      <c r="C4" s="6" t="s">
        <v>12</v>
      </c>
      <c r="D4" s="7" t="s">
        <v>13</v>
      </c>
      <c r="E4" s="8" t="s">
        <v>9</v>
      </c>
      <c r="F4" s="7"/>
    </row>
    <row r="5" spans="1:6" ht="30">
      <c r="A5" s="6">
        <v>4</v>
      </c>
      <c r="B5" s="6" t="s">
        <v>6</v>
      </c>
      <c r="C5" s="6" t="s">
        <v>14</v>
      </c>
      <c r="D5" s="7" t="s">
        <v>15</v>
      </c>
      <c r="E5" s="8" t="s">
        <v>9</v>
      </c>
      <c r="F5" s="7"/>
    </row>
    <row r="6" spans="1:6" ht="30">
      <c r="A6" s="6">
        <v>5</v>
      </c>
      <c r="B6" s="6" t="s">
        <v>6</v>
      </c>
      <c r="C6" s="6" t="s">
        <v>16</v>
      </c>
      <c r="D6" s="7" t="s">
        <v>17</v>
      </c>
      <c r="E6" s="8" t="s">
        <v>9</v>
      </c>
      <c r="F6" s="7"/>
    </row>
    <row r="7" spans="1:6" ht="30">
      <c r="A7" s="6">
        <v>6</v>
      </c>
      <c r="B7" s="6" t="s">
        <v>18</v>
      </c>
      <c r="C7" s="6" t="s">
        <v>19</v>
      </c>
      <c r="D7" s="7" t="s">
        <v>20</v>
      </c>
      <c r="E7" s="8" t="s">
        <v>9</v>
      </c>
      <c r="F7" s="7"/>
    </row>
    <row r="8" spans="1:6" ht="30">
      <c r="A8" s="6">
        <v>7</v>
      </c>
      <c r="B8" s="6" t="s">
        <v>18</v>
      </c>
      <c r="C8" s="6" t="s">
        <v>21</v>
      </c>
      <c r="D8" s="7" t="s">
        <v>22</v>
      </c>
      <c r="E8" s="8" t="s">
        <v>9</v>
      </c>
      <c r="F8" s="7"/>
    </row>
    <row r="9" spans="1:6">
      <c r="A9" s="6">
        <v>8</v>
      </c>
      <c r="B9" s="6" t="s">
        <v>18</v>
      </c>
      <c r="C9" s="6" t="s">
        <v>23</v>
      </c>
      <c r="D9" s="7" t="s">
        <v>24</v>
      </c>
      <c r="E9" s="8" t="s">
        <v>9</v>
      </c>
      <c r="F9" s="7"/>
    </row>
    <row r="10" spans="1:6">
      <c r="A10" s="6">
        <v>9</v>
      </c>
      <c r="B10" s="6" t="s">
        <v>18</v>
      </c>
      <c r="C10" s="6" t="s">
        <v>25</v>
      </c>
      <c r="D10" s="7" t="s">
        <v>26</v>
      </c>
      <c r="E10" s="8" t="s">
        <v>9</v>
      </c>
      <c r="F10" s="7"/>
    </row>
    <row r="11" spans="1:6">
      <c r="A11" s="6">
        <v>10</v>
      </c>
      <c r="B11" s="6" t="s">
        <v>18</v>
      </c>
      <c r="C11" s="6" t="s">
        <v>27</v>
      </c>
      <c r="D11" s="7" t="s">
        <v>28</v>
      </c>
      <c r="E11" s="8" t="s">
        <v>9</v>
      </c>
      <c r="F11" s="7"/>
    </row>
    <row r="12" spans="1:6">
      <c r="A12" s="6">
        <v>11</v>
      </c>
      <c r="B12" s="6" t="s">
        <v>18</v>
      </c>
      <c r="C12" s="6" t="s">
        <v>29</v>
      </c>
      <c r="D12" s="7" t="s">
        <v>30</v>
      </c>
      <c r="E12" s="8" t="s">
        <v>9</v>
      </c>
      <c r="F12" s="7"/>
    </row>
    <row r="13" spans="1:6">
      <c r="A13" s="6">
        <v>12</v>
      </c>
      <c r="B13" s="6" t="s">
        <v>18</v>
      </c>
      <c r="C13" s="6" t="s">
        <v>31</v>
      </c>
      <c r="D13" s="7" t="s">
        <v>32</v>
      </c>
      <c r="E13" s="8" t="s">
        <v>9</v>
      </c>
      <c r="F13" s="7"/>
    </row>
    <row r="14" spans="1:6" ht="30">
      <c r="A14" s="6">
        <v>13</v>
      </c>
      <c r="B14" s="6" t="s">
        <v>18</v>
      </c>
      <c r="C14" s="6" t="s">
        <v>33</v>
      </c>
      <c r="D14" s="7" t="s">
        <v>34</v>
      </c>
      <c r="E14" s="8" t="s">
        <v>9</v>
      </c>
      <c r="F14" s="7"/>
    </row>
    <row r="15" spans="1:6" ht="30">
      <c r="A15" s="6">
        <v>14</v>
      </c>
      <c r="B15" s="6" t="s">
        <v>35</v>
      </c>
      <c r="C15" s="6" t="s">
        <v>36</v>
      </c>
      <c r="D15" s="7" t="s">
        <v>37</v>
      </c>
      <c r="E15" s="8" t="s">
        <v>9</v>
      </c>
      <c r="F15" s="7"/>
    </row>
    <row r="16" spans="1:6" ht="30">
      <c r="A16" s="6">
        <v>15</v>
      </c>
      <c r="B16" s="6" t="s">
        <v>35</v>
      </c>
      <c r="C16" s="6" t="s">
        <v>38</v>
      </c>
      <c r="D16" s="7" t="s">
        <v>39</v>
      </c>
      <c r="E16" s="8" t="s">
        <v>9</v>
      </c>
      <c r="F16" s="7"/>
    </row>
    <row r="17" spans="1:6" ht="30">
      <c r="A17" s="6">
        <v>16</v>
      </c>
      <c r="B17" s="6" t="s">
        <v>35</v>
      </c>
      <c r="C17" s="6" t="s">
        <v>40</v>
      </c>
      <c r="D17" s="7" t="s">
        <v>41</v>
      </c>
      <c r="E17" s="8" t="s">
        <v>9</v>
      </c>
      <c r="F17" s="7"/>
    </row>
    <row r="18" spans="1:6" ht="30">
      <c r="A18" s="6">
        <v>17</v>
      </c>
      <c r="B18" s="6" t="s">
        <v>35</v>
      </c>
      <c r="C18" s="6" t="s">
        <v>42</v>
      </c>
      <c r="D18" s="7" t="s">
        <v>43</v>
      </c>
      <c r="E18" s="8" t="s">
        <v>9</v>
      </c>
      <c r="F18" s="7"/>
    </row>
    <row r="19" spans="1:6" ht="30">
      <c r="A19" s="6">
        <v>18</v>
      </c>
      <c r="B19" s="6" t="s">
        <v>35</v>
      </c>
      <c r="C19" s="6" t="s">
        <v>44</v>
      </c>
      <c r="D19" s="7" t="s">
        <v>45</v>
      </c>
      <c r="E19" s="8" t="s">
        <v>9</v>
      </c>
      <c r="F19" s="7"/>
    </row>
    <row r="20" spans="1:6">
      <c r="A20" s="6">
        <v>19</v>
      </c>
      <c r="B20" s="6" t="s">
        <v>35</v>
      </c>
      <c r="C20" s="6" t="s">
        <v>46</v>
      </c>
      <c r="D20" s="7" t="s">
        <v>47</v>
      </c>
      <c r="E20" s="8" t="s">
        <v>9</v>
      </c>
      <c r="F20" s="7"/>
    </row>
    <row r="21" spans="1:6" ht="30">
      <c r="A21" s="6">
        <v>20</v>
      </c>
      <c r="B21" s="6" t="s">
        <v>35</v>
      </c>
      <c r="C21" s="6" t="s">
        <v>48</v>
      </c>
      <c r="D21" s="7" t="s">
        <v>49</v>
      </c>
      <c r="E21" s="8" t="s">
        <v>9</v>
      </c>
      <c r="F21" s="7"/>
    </row>
    <row r="22" spans="1:6" ht="30">
      <c r="A22" s="6">
        <v>21</v>
      </c>
      <c r="B22" s="6" t="s">
        <v>35</v>
      </c>
      <c r="C22" s="6" t="s">
        <v>50</v>
      </c>
      <c r="D22" s="7" t="s">
        <v>51</v>
      </c>
      <c r="E22" s="8" t="s">
        <v>9</v>
      </c>
      <c r="F22" s="7"/>
    </row>
    <row r="23" spans="1:6">
      <c r="A23" s="6">
        <v>22</v>
      </c>
      <c r="B23" s="6" t="s">
        <v>35</v>
      </c>
      <c r="C23" s="6" t="s">
        <v>52</v>
      </c>
      <c r="D23" s="7" t="s">
        <v>53</v>
      </c>
      <c r="E23" s="8" t="s">
        <v>9</v>
      </c>
      <c r="F23" s="7"/>
    </row>
    <row r="24" spans="1:6">
      <c r="A24" s="6">
        <v>23</v>
      </c>
      <c r="B24" s="6" t="s">
        <v>35</v>
      </c>
      <c r="C24" s="6" t="s">
        <v>54</v>
      </c>
      <c r="D24" s="7" t="s">
        <v>55</v>
      </c>
      <c r="E24" s="8" t="s">
        <v>9</v>
      </c>
      <c r="F24" s="7"/>
    </row>
    <row r="25" spans="1:6" ht="30">
      <c r="A25" s="6">
        <v>24</v>
      </c>
      <c r="B25" s="6" t="s">
        <v>56</v>
      </c>
      <c r="C25" s="6" t="s">
        <v>57</v>
      </c>
      <c r="D25" s="7" t="s">
        <v>58</v>
      </c>
      <c r="E25" s="8" t="s">
        <v>9</v>
      </c>
      <c r="F25" s="7"/>
    </row>
    <row r="26" spans="1:6" ht="30">
      <c r="A26" s="6">
        <v>25</v>
      </c>
      <c r="B26" s="6" t="s">
        <v>56</v>
      </c>
      <c r="C26" s="6" t="s">
        <v>59</v>
      </c>
      <c r="D26" s="7" t="s">
        <v>60</v>
      </c>
      <c r="E26" s="8" t="s">
        <v>9</v>
      </c>
      <c r="F26" s="7"/>
    </row>
    <row r="27" spans="1:6" ht="30">
      <c r="A27" s="6">
        <v>26</v>
      </c>
      <c r="B27" s="6" t="s">
        <v>56</v>
      </c>
      <c r="C27" s="6" t="s">
        <v>61</v>
      </c>
      <c r="D27" s="7" t="s">
        <v>62</v>
      </c>
      <c r="E27" s="8" t="s">
        <v>9</v>
      </c>
      <c r="F27" s="7"/>
    </row>
    <row r="28" spans="1:6" ht="30">
      <c r="A28" s="6">
        <v>27</v>
      </c>
      <c r="B28" s="6" t="s">
        <v>56</v>
      </c>
      <c r="C28" s="6" t="s">
        <v>63</v>
      </c>
      <c r="D28" s="7" t="s">
        <v>64</v>
      </c>
      <c r="E28" s="8" t="s">
        <v>9</v>
      </c>
      <c r="F28" s="7"/>
    </row>
    <row r="29" spans="1:6" ht="30">
      <c r="A29" s="6">
        <v>28</v>
      </c>
      <c r="B29" s="6" t="s">
        <v>56</v>
      </c>
      <c r="C29" s="6" t="s">
        <v>65</v>
      </c>
      <c r="D29" s="7" t="s">
        <v>66</v>
      </c>
      <c r="E29" s="8" t="s">
        <v>9</v>
      </c>
      <c r="F29" s="7"/>
    </row>
    <row r="30" spans="1:6" ht="30">
      <c r="A30" s="6">
        <v>29</v>
      </c>
      <c r="B30" s="6" t="s">
        <v>56</v>
      </c>
      <c r="C30" s="6" t="s">
        <v>67</v>
      </c>
      <c r="D30" s="7" t="s">
        <v>68</v>
      </c>
      <c r="E30" s="8" t="s">
        <v>9</v>
      </c>
      <c r="F30" s="7"/>
    </row>
    <row r="31" spans="1:6">
      <c r="A31" s="6">
        <v>30</v>
      </c>
      <c r="B31" s="6" t="s">
        <v>56</v>
      </c>
      <c r="C31" s="6" t="s">
        <v>69</v>
      </c>
      <c r="D31" s="7" t="s">
        <v>70</v>
      </c>
      <c r="E31" s="8" t="s">
        <v>9</v>
      </c>
      <c r="F31" s="7"/>
    </row>
    <row r="32" spans="1:6">
      <c r="A32" s="6">
        <v>31</v>
      </c>
      <c r="B32" s="6" t="s">
        <v>56</v>
      </c>
      <c r="C32" s="6" t="s">
        <v>71</v>
      </c>
      <c r="D32" s="7" t="s">
        <v>72</v>
      </c>
      <c r="E32" s="8" t="s">
        <v>9</v>
      </c>
      <c r="F32" s="7"/>
    </row>
    <row r="33" spans="1:6" ht="30">
      <c r="A33" s="6">
        <v>32</v>
      </c>
      <c r="B33" s="6" t="s">
        <v>56</v>
      </c>
      <c r="C33" s="6" t="s">
        <v>73</v>
      </c>
      <c r="D33" s="7" t="s">
        <v>74</v>
      </c>
      <c r="E33" s="8" t="s">
        <v>9</v>
      </c>
      <c r="F33" s="7"/>
    </row>
    <row r="34" spans="1:6" ht="30">
      <c r="A34" s="6">
        <v>33</v>
      </c>
      <c r="B34" s="6" t="s">
        <v>75</v>
      </c>
      <c r="C34" s="6" t="s">
        <v>76</v>
      </c>
      <c r="D34" s="7" t="s">
        <v>77</v>
      </c>
      <c r="E34" s="8" t="s">
        <v>9</v>
      </c>
      <c r="F34" s="7"/>
    </row>
    <row r="35" spans="1:6" ht="30">
      <c r="A35" s="6">
        <v>34</v>
      </c>
      <c r="B35" s="6" t="s">
        <v>75</v>
      </c>
      <c r="C35" s="6" t="s">
        <v>78</v>
      </c>
      <c r="D35" s="7" t="s">
        <v>79</v>
      </c>
      <c r="E35" s="8" t="s">
        <v>9</v>
      </c>
      <c r="F35" s="7"/>
    </row>
    <row r="36" spans="1:6" ht="30">
      <c r="A36" s="6">
        <v>35</v>
      </c>
      <c r="B36" s="6" t="s">
        <v>75</v>
      </c>
      <c r="C36" s="6" t="s">
        <v>80</v>
      </c>
      <c r="D36" s="7" t="s">
        <v>81</v>
      </c>
      <c r="E36" s="8" t="s">
        <v>9</v>
      </c>
      <c r="F36" s="7"/>
    </row>
    <row r="37" spans="1:6" ht="30">
      <c r="A37" s="6">
        <v>36</v>
      </c>
      <c r="B37" s="6" t="s">
        <v>75</v>
      </c>
      <c r="C37" s="6" t="s">
        <v>82</v>
      </c>
      <c r="D37" s="7" t="s">
        <v>83</v>
      </c>
      <c r="E37" s="8" t="s">
        <v>9</v>
      </c>
      <c r="F37" s="7"/>
    </row>
    <row r="38" spans="1:6" ht="30">
      <c r="A38" s="6">
        <v>37</v>
      </c>
      <c r="B38" s="6" t="s">
        <v>75</v>
      </c>
      <c r="C38" s="6" t="s">
        <v>84</v>
      </c>
      <c r="D38" s="7" t="s">
        <v>85</v>
      </c>
      <c r="E38" s="8" t="s">
        <v>9</v>
      </c>
      <c r="F38" s="7"/>
    </row>
    <row r="39" spans="1:6" ht="30">
      <c r="A39" s="6">
        <v>38</v>
      </c>
      <c r="B39" s="6" t="s">
        <v>75</v>
      </c>
      <c r="C39" s="6" t="s">
        <v>86</v>
      </c>
      <c r="D39" s="7" t="s">
        <v>87</v>
      </c>
      <c r="E39" s="8" t="s">
        <v>9</v>
      </c>
      <c r="F39" s="7"/>
    </row>
    <row r="40" spans="1:6" ht="30">
      <c r="A40" s="6">
        <v>39</v>
      </c>
      <c r="B40" s="6" t="s">
        <v>75</v>
      </c>
      <c r="C40" s="6" t="s">
        <v>88</v>
      </c>
      <c r="D40" s="7" t="s">
        <v>89</v>
      </c>
      <c r="E40" s="8" t="s">
        <v>9</v>
      </c>
      <c r="F40" s="7"/>
    </row>
    <row r="41" spans="1:6" ht="30">
      <c r="A41" s="6">
        <v>40</v>
      </c>
      <c r="B41" s="6" t="s">
        <v>90</v>
      </c>
      <c r="C41" s="6" t="s">
        <v>91</v>
      </c>
      <c r="D41" s="7" t="s">
        <v>92</v>
      </c>
      <c r="E41" s="8" t="s">
        <v>9</v>
      </c>
      <c r="F41" s="7"/>
    </row>
    <row r="42" spans="1:6" ht="30">
      <c r="A42" s="6">
        <v>41</v>
      </c>
      <c r="B42" s="6" t="s">
        <v>90</v>
      </c>
      <c r="C42" s="6" t="s">
        <v>93</v>
      </c>
      <c r="D42" s="7" t="s">
        <v>94</v>
      </c>
      <c r="E42" s="8" t="s">
        <v>9</v>
      </c>
      <c r="F42" s="7"/>
    </row>
    <row r="43" spans="1:6">
      <c r="A43" s="6">
        <v>42</v>
      </c>
      <c r="B43" s="6" t="s">
        <v>90</v>
      </c>
      <c r="C43" s="6" t="s">
        <v>95</v>
      </c>
      <c r="D43" s="7" t="s">
        <v>96</v>
      </c>
      <c r="E43" s="8" t="s">
        <v>9</v>
      </c>
      <c r="F43" s="7"/>
    </row>
    <row r="44" spans="1:6" ht="30">
      <c r="A44" s="6">
        <v>43</v>
      </c>
      <c r="B44" s="6" t="s">
        <v>90</v>
      </c>
      <c r="C44" s="6" t="s">
        <v>97</v>
      </c>
      <c r="D44" s="7" t="s">
        <v>98</v>
      </c>
      <c r="E44" s="8" t="s">
        <v>9</v>
      </c>
      <c r="F44" s="7"/>
    </row>
    <row r="45" spans="1:6">
      <c r="A45" s="6">
        <v>44</v>
      </c>
      <c r="B45" s="6" t="s">
        <v>90</v>
      </c>
      <c r="C45" s="6" t="s">
        <v>99</v>
      </c>
      <c r="D45" s="7" t="s">
        <v>100</v>
      </c>
      <c r="E45" s="8" t="s">
        <v>9</v>
      </c>
      <c r="F45" s="7"/>
    </row>
    <row r="46" spans="1:6">
      <c r="A46" s="6">
        <v>45</v>
      </c>
      <c r="B46" s="6" t="s">
        <v>101</v>
      </c>
      <c r="C46" s="6" t="s">
        <v>102</v>
      </c>
      <c r="D46" s="7" t="s">
        <v>103</v>
      </c>
      <c r="E46" s="8" t="s">
        <v>9</v>
      </c>
      <c r="F46" s="7"/>
    </row>
    <row r="47" spans="1:6" ht="30">
      <c r="A47" s="6">
        <v>46</v>
      </c>
      <c r="B47" s="6" t="s">
        <v>101</v>
      </c>
      <c r="C47" s="6" t="s">
        <v>104</v>
      </c>
      <c r="D47" s="7" t="s">
        <v>105</v>
      </c>
      <c r="E47" s="8" t="s">
        <v>9</v>
      </c>
      <c r="F47" s="7"/>
    </row>
    <row r="48" spans="1:6" ht="30">
      <c r="A48" s="6">
        <v>47</v>
      </c>
      <c r="B48" s="6" t="s">
        <v>101</v>
      </c>
      <c r="C48" s="6" t="s">
        <v>106</v>
      </c>
      <c r="D48" s="7" t="s">
        <v>107</v>
      </c>
      <c r="E48" s="8" t="s">
        <v>9</v>
      </c>
      <c r="F48" s="7"/>
    </row>
    <row r="49" spans="1:6" ht="30">
      <c r="A49" s="6">
        <v>48</v>
      </c>
      <c r="B49" s="6" t="s">
        <v>101</v>
      </c>
      <c r="C49" s="6" t="s">
        <v>108</v>
      </c>
      <c r="D49" s="7" t="s">
        <v>109</v>
      </c>
      <c r="E49" s="8" t="s">
        <v>9</v>
      </c>
      <c r="F49" s="7"/>
    </row>
    <row r="50" spans="1:6">
      <c r="A50" s="6">
        <v>49</v>
      </c>
      <c r="B50" s="6" t="s">
        <v>101</v>
      </c>
      <c r="C50" s="6" t="s">
        <v>110</v>
      </c>
      <c r="D50" s="7" t="s">
        <v>111</v>
      </c>
      <c r="E50" s="8" t="s">
        <v>9</v>
      </c>
      <c r="F50" s="7"/>
    </row>
    <row r="51" spans="1:6">
      <c r="A51" s="6">
        <v>50</v>
      </c>
      <c r="B51" s="6" t="s">
        <v>101</v>
      </c>
      <c r="C51" s="6" t="s">
        <v>112</v>
      </c>
      <c r="D51" s="7" t="s">
        <v>113</v>
      </c>
      <c r="E51" s="8" t="s">
        <v>9</v>
      </c>
      <c r="F51" s="7"/>
    </row>
    <row r="52" spans="1:6" ht="30">
      <c r="A52" s="6">
        <v>51</v>
      </c>
      <c r="B52" s="6" t="s">
        <v>114</v>
      </c>
      <c r="C52" s="6" t="s">
        <v>115</v>
      </c>
      <c r="D52" s="7" t="s">
        <v>116</v>
      </c>
      <c r="E52" s="8" t="s">
        <v>9</v>
      </c>
      <c r="F52" s="7"/>
    </row>
    <row r="53" spans="1:6" ht="30">
      <c r="A53" s="6">
        <v>52</v>
      </c>
      <c r="B53" s="6" t="s">
        <v>114</v>
      </c>
      <c r="C53" s="6" t="s">
        <v>117</v>
      </c>
      <c r="D53" s="7" t="s">
        <v>118</v>
      </c>
      <c r="E53" s="8" t="s">
        <v>9</v>
      </c>
      <c r="F53" s="7"/>
    </row>
    <row r="54" spans="1:6">
      <c r="A54" s="6">
        <v>53</v>
      </c>
      <c r="B54" s="6" t="s">
        <v>114</v>
      </c>
      <c r="C54" s="6" t="s">
        <v>119</v>
      </c>
      <c r="D54" s="7" t="s">
        <v>120</v>
      </c>
      <c r="E54" s="8" t="s">
        <v>9</v>
      </c>
      <c r="F54" s="7"/>
    </row>
    <row r="55" spans="1:6" ht="30">
      <c r="A55" s="6">
        <v>54</v>
      </c>
      <c r="B55" s="6" t="s">
        <v>114</v>
      </c>
      <c r="C55" s="6" t="s">
        <v>121</v>
      </c>
      <c r="D55" s="7" t="s">
        <v>122</v>
      </c>
      <c r="E55" s="8" t="s">
        <v>9</v>
      </c>
      <c r="F55" s="7"/>
    </row>
    <row r="56" spans="1:6">
      <c r="A56" s="6">
        <v>55</v>
      </c>
      <c r="B56" s="6" t="s">
        <v>114</v>
      </c>
      <c r="C56" s="6" t="s">
        <v>123</v>
      </c>
      <c r="D56" s="7" t="s">
        <v>124</v>
      </c>
      <c r="E56" s="8" t="s">
        <v>9</v>
      </c>
      <c r="F56" s="7"/>
    </row>
    <row r="57" spans="1:6">
      <c r="A57" s="6">
        <v>56</v>
      </c>
      <c r="B57" s="6" t="s">
        <v>114</v>
      </c>
      <c r="C57" s="6" t="s">
        <v>125</v>
      </c>
      <c r="D57" s="7" t="s">
        <v>126</v>
      </c>
      <c r="E57" s="8" t="s">
        <v>9</v>
      </c>
      <c r="F57" s="7"/>
    </row>
    <row r="58" spans="1:6" ht="30">
      <c r="A58" s="6">
        <v>57</v>
      </c>
      <c r="B58" s="6" t="s">
        <v>127</v>
      </c>
      <c r="C58" s="6" t="s">
        <v>128</v>
      </c>
      <c r="D58" s="7" t="s">
        <v>129</v>
      </c>
      <c r="E58" s="8" t="s">
        <v>9</v>
      </c>
      <c r="F58" s="7"/>
    </row>
    <row r="59" spans="1:6">
      <c r="A59" s="6">
        <v>58</v>
      </c>
      <c r="B59" s="6" t="s">
        <v>127</v>
      </c>
      <c r="C59" s="6" t="s">
        <v>130</v>
      </c>
      <c r="D59" s="7" t="s">
        <v>131</v>
      </c>
      <c r="E59" s="8" t="s">
        <v>9</v>
      </c>
      <c r="F59" s="7"/>
    </row>
    <row r="60" spans="1:6" ht="30">
      <c r="A60" s="6">
        <v>59</v>
      </c>
      <c r="B60" s="6" t="s">
        <v>127</v>
      </c>
      <c r="C60" s="6" t="s">
        <v>132</v>
      </c>
      <c r="D60" s="7" t="s">
        <v>133</v>
      </c>
      <c r="E60" s="8" t="s">
        <v>9</v>
      </c>
      <c r="F60" s="7"/>
    </row>
    <row r="61" spans="1:6" ht="30">
      <c r="A61" s="6">
        <v>60</v>
      </c>
      <c r="B61" s="6" t="s">
        <v>127</v>
      </c>
      <c r="C61" s="6" t="s">
        <v>134</v>
      </c>
      <c r="D61" s="7" t="s">
        <v>135</v>
      </c>
      <c r="E61" s="8" t="s">
        <v>9</v>
      </c>
      <c r="F61" s="7"/>
    </row>
    <row r="62" spans="1:6">
      <c r="A62" s="6">
        <v>61</v>
      </c>
      <c r="B62" s="6" t="s">
        <v>127</v>
      </c>
      <c r="C62" s="6" t="s">
        <v>136</v>
      </c>
      <c r="D62" s="7" t="s">
        <v>137</v>
      </c>
      <c r="E62" s="8" t="s">
        <v>9</v>
      </c>
      <c r="F62" s="7"/>
    </row>
    <row r="63" spans="1:6" ht="30">
      <c r="A63" s="6">
        <v>62</v>
      </c>
      <c r="B63" s="6" t="s">
        <v>138</v>
      </c>
      <c r="C63" s="6" t="s">
        <v>139</v>
      </c>
      <c r="D63" s="7" t="s">
        <v>140</v>
      </c>
      <c r="E63" s="8" t="s">
        <v>9</v>
      </c>
      <c r="F63" s="7"/>
    </row>
    <row r="64" spans="1:6">
      <c r="A64" s="6">
        <v>63</v>
      </c>
      <c r="B64" s="6" t="s">
        <v>138</v>
      </c>
      <c r="C64" s="6" t="s">
        <v>141</v>
      </c>
      <c r="D64" s="7" t="s">
        <v>142</v>
      </c>
      <c r="E64" s="8" t="s">
        <v>9</v>
      </c>
      <c r="F64" s="7"/>
    </row>
    <row r="65" spans="1:7" ht="30">
      <c r="A65" s="6">
        <v>64</v>
      </c>
      <c r="B65" s="6" t="s">
        <v>138</v>
      </c>
      <c r="C65" s="6" t="s">
        <v>143</v>
      </c>
      <c r="D65" s="7" t="s">
        <v>144</v>
      </c>
      <c r="E65" s="8" t="s">
        <v>9</v>
      </c>
      <c r="F65" s="7"/>
    </row>
    <row r="66" spans="1:7" ht="30">
      <c r="A66" s="6">
        <v>65</v>
      </c>
      <c r="B66" s="6" t="s">
        <v>145</v>
      </c>
      <c r="C66" s="6" t="s">
        <v>146</v>
      </c>
      <c r="D66" s="7" t="s">
        <v>147</v>
      </c>
      <c r="E66" s="8" t="s">
        <v>9</v>
      </c>
      <c r="F66" s="7"/>
    </row>
    <row r="67" spans="1:7">
      <c r="A67" s="6">
        <v>66</v>
      </c>
      <c r="B67" s="6" t="s">
        <v>145</v>
      </c>
      <c r="C67" s="6" t="s">
        <v>148</v>
      </c>
      <c r="D67" s="7" t="s">
        <v>149</v>
      </c>
      <c r="E67" s="8" t="s">
        <v>9</v>
      </c>
      <c r="F67" s="7"/>
    </row>
    <row r="68" spans="1:7" ht="30">
      <c r="A68" s="6">
        <v>67</v>
      </c>
      <c r="B68" s="6" t="s">
        <v>114</v>
      </c>
      <c r="C68" s="6" t="s">
        <v>150</v>
      </c>
      <c r="D68" s="7" t="s">
        <v>151</v>
      </c>
      <c r="E68" s="8" t="s">
        <v>9</v>
      </c>
      <c r="F68" s="7" t="s">
        <v>168</v>
      </c>
      <c r="G68" t="s">
        <v>169</v>
      </c>
    </row>
    <row r="69" spans="1:7" ht="30">
      <c r="A69" s="6">
        <v>68</v>
      </c>
      <c r="B69" s="6" t="s">
        <v>114</v>
      </c>
      <c r="C69" s="6" t="s">
        <v>152</v>
      </c>
      <c r="D69" s="7" t="s">
        <v>153</v>
      </c>
      <c r="E69" s="8" t="s">
        <v>9</v>
      </c>
      <c r="F69" s="7" t="s">
        <v>168</v>
      </c>
      <c r="G69" t="s">
        <v>170</v>
      </c>
    </row>
    <row r="70" spans="1:7" ht="165">
      <c r="A70" s="12">
        <v>69</v>
      </c>
      <c r="B70" s="12" t="s">
        <v>171</v>
      </c>
      <c r="C70" s="12" t="s">
        <v>172</v>
      </c>
      <c r="D70" s="13" t="s">
        <v>173</v>
      </c>
      <c r="E70" s="14" t="s">
        <v>174</v>
      </c>
      <c r="F70" s="13" t="s">
        <v>175</v>
      </c>
      <c r="G70" s="3" t="s">
        <v>176</v>
      </c>
    </row>
    <row r="71" spans="1:7" ht="165">
      <c r="A71" s="12">
        <v>70</v>
      </c>
      <c r="B71" s="12" t="s">
        <v>171</v>
      </c>
      <c r="C71" s="12" t="s">
        <v>177</v>
      </c>
      <c r="D71" s="13" t="s">
        <v>178</v>
      </c>
      <c r="E71" s="14" t="s">
        <v>174</v>
      </c>
      <c r="F71" s="13" t="s">
        <v>175</v>
      </c>
      <c r="G71" s="3" t="s">
        <v>176</v>
      </c>
    </row>
    <row r="72" spans="1:7" ht="165">
      <c r="A72" s="12">
        <v>71</v>
      </c>
      <c r="B72" s="12" t="s">
        <v>171</v>
      </c>
      <c r="C72" s="12" t="s">
        <v>179</v>
      </c>
      <c r="D72" s="13" t="s">
        <v>180</v>
      </c>
      <c r="E72" s="14" t="s">
        <v>174</v>
      </c>
      <c r="F72" s="13" t="s">
        <v>175</v>
      </c>
      <c r="G72" s="3" t="s">
        <v>176</v>
      </c>
    </row>
    <row r="73" spans="1:7" ht="165">
      <c r="A73" s="12">
        <v>72</v>
      </c>
      <c r="B73" s="12" t="s">
        <v>171</v>
      </c>
      <c r="C73" s="12" t="s">
        <v>181</v>
      </c>
      <c r="D73" s="13" t="s">
        <v>182</v>
      </c>
      <c r="E73" s="14" t="s">
        <v>174</v>
      </c>
      <c r="F73" s="13" t="s">
        <v>175</v>
      </c>
      <c r="G73" s="3" t="s">
        <v>176</v>
      </c>
    </row>
    <row r="74" spans="1:7" ht="165">
      <c r="A74" s="12">
        <v>73</v>
      </c>
      <c r="B74" s="12" t="s">
        <v>171</v>
      </c>
      <c r="C74" s="12" t="s">
        <v>183</v>
      </c>
      <c r="D74" s="13" t="s">
        <v>184</v>
      </c>
      <c r="E74" s="14" t="s">
        <v>174</v>
      </c>
      <c r="F74" s="13" t="s">
        <v>175</v>
      </c>
      <c r="G74" s="3" t="s">
        <v>176</v>
      </c>
    </row>
  </sheetData>
  <autoFilter ref="A1:F1"/>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dimension ref="A1:B16"/>
  <sheetViews>
    <sheetView workbookViewId="0"/>
  </sheetViews>
  <sheetFormatPr defaultRowHeight="15"/>
  <cols>
    <col min="1" max="1" width="95.7109375" customWidth="1"/>
    <col min="2" max="2" width="10.7109375" customWidth="1"/>
  </cols>
  <sheetData>
    <row r="1" spans="1:2" ht="21">
      <c r="A1" s="9" t="s">
        <v>154</v>
      </c>
    </row>
    <row r="2" spans="1:2">
      <c r="A2" s="10" t="s">
        <v>155</v>
      </c>
    </row>
    <row r="4" spans="1:2">
      <c r="A4" s="2" t="s">
        <v>4</v>
      </c>
      <c r="B4" s="2" t="s">
        <v>156</v>
      </c>
    </row>
    <row r="5" spans="1:2">
      <c r="A5" s="11" t="s">
        <v>157</v>
      </c>
      <c r="B5" s="11">
        <f>COUNTIF('Feature Tracker'!E:E,"Completed")</f>
        <v>68</v>
      </c>
    </row>
    <row r="6" spans="1:2">
      <c r="A6" s="11" t="s">
        <v>158</v>
      </c>
      <c r="B6" s="11">
        <f>COUNTIF('Feature Tracker'!E:E,"Planned")</f>
        <v>0</v>
      </c>
    </row>
    <row r="7" spans="1:2">
      <c r="A7" s="11" t="s">
        <v>159</v>
      </c>
      <c r="B7" s="11">
        <f>COUNTIF('Feature Tracker'!E:E,"Proposed")</f>
        <v>5</v>
      </c>
    </row>
    <row r="9" spans="1:2">
      <c r="A9" s="1" t="s">
        <v>160</v>
      </c>
    </row>
    <row r="10" spans="1:2">
      <c r="A10" t="s">
        <v>161</v>
      </c>
    </row>
    <row r="11" spans="1:2">
      <c r="A11" t="s">
        <v>162</v>
      </c>
    </row>
    <row r="12" spans="1:2">
      <c r="A12" t="s">
        <v>163</v>
      </c>
    </row>
    <row r="13" spans="1:2">
      <c r="A13" t="s">
        <v>164</v>
      </c>
    </row>
    <row r="14" spans="1:2">
      <c r="A14" t="s">
        <v>165</v>
      </c>
    </row>
    <row r="15" spans="1:2">
      <c r="A15" t="s">
        <v>166</v>
      </c>
    </row>
    <row r="16" spans="1:2">
      <c r="A16" t="s">
        <v>167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Feature Tracker</vt:lpstr>
      <vt:lpstr>Summary</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2026-07-11T04:36:53Z</dcterms:created>
  <dcterms:modified xsi:type="dcterms:W3CDTF">2026-07-11T05:51:30Z</dcterms:modified>
</cp:coreProperties>
</file>