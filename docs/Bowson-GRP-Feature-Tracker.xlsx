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20" windowWidth="28695" windowHeight="15090"/>
  </bookViews>
  <sheets>
    <sheet name="Feature Tracker" sheetId="1" r:id="rId1"/>
    <sheet name="Summary" sheetId="4" r:id="rId2"/>
    <sheet name="Sheet2" sheetId="2" r:id="rId3"/>
    <sheet name="Sheet3" sheetId="3" r:id="rId4"/>
  </sheets>
  <definedNames>
    <definedName name="_xlnm._FilterDatabase" localSheetId="0" hidden="1">'Feature Tracker'!$A$1:$F$1</definedName>
  </definedNames>
  <calcPr calcId="124519"/>
</workbook>
</file>

<file path=xl/calcChain.xml><?xml version="1.0" encoding="utf-8"?>
<calcChain xmlns="http://schemas.openxmlformats.org/spreadsheetml/2006/main">
  <c r="B7" i="4"/>
  <c r="B6"/>
  <c r="B5"/>
</calcChain>
</file>

<file path=xl/sharedStrings.xml><?xml version="1.0" encoding="utf-8"?>
<sst xmlns="http://schemas.openxmlformats.org/spreadsheetml/2006/main" count="313" uniqueCount="179">
  <si>
    <t>#</t>
  </si>
  <si>
    <t>Module</t>
  </si>
  <si>
    <t>Feature</t>
  </si>
  <si>
    <t>Description</t>
  </si>
  <si>
    <t>Status</t>
  </si>
  <si>
    <t>Notes</t>
  </si>
  <si>
    <t>Platform &amp; Access</t>
  </si>
  <si>
    <t>Cloud-hosted multi-user system</t>
  </si>
  <si>
    <t>Runs in any modern web browser on PCs, laptops and tablets. Office and shop floor work on the same live data at the same time.</t>
  </si>
  <si>
    <t>Completed</t>
  </si>
  <si>
    <t>Role-based access levels</t>
  </si>
  <si>
    <t>Manager PIN protection</t>
  </si>
  <si>
    <t>Sensitive actions (deleting orders, releasing orders, board unlock, standalone tickets) require a changeable manager PIN.</t>
  </si>
  <si>
    <t>Full audit trail</t>
  </si>
  <si>
    <t>Every stage change is recorded - what changed, from what, to what and when - visible on each order and ticket.</t>
  </si>
  <si>
    <t>Dashboard</t>
  </si>
  <si>
    <t>Live KPI cards</t>
  </si>
  <si>
    <t>Active orders, orders pending, slides in production, parts in production, moulds in use and total man-hours remaining.</t>
  </si>
  <si>
    <t>Cannot Produce alerts</t>
  </si>
  <si>
    <t>Warns when tickets are blocked - mould in maintenance, or no mould assigned - with direct links to fix.</t>
  </si>
  <si>
    <t>Overdue orders table</t>
  </si>
  <si>
    <t>All overdue orders listed with days overdue, sorted by deadline.</t>
  </si>
  <si>
    <t>Recent orders with progress</t>
  </si>
  <si>
    <t>Latest orders with live progress bars and deadlines.</t>
  </si>
  <si>
    <t>Hours remaining by stage</t>
  </si>
  <si>
    <t>Shows where the workload sits across the production pipeline.</t>
  </si>
  <si>
    <t>8-week capacity outlook</t>
  </si>
  <si>
    <t>Committed hours vs available hours per week with over-capacity warnings.</t>
  </si>
  <si>
    <t>Live lead-time calculation</t>
  </si>
  <si>
    <t>Current lead time calculated from live workload and team capacity.</t>
  </si>
  <si>
    <t>Stage capacity check</t>
  </si>
  <si>
    <t>For this week and next - shows whether enough trained staff are available for each stage.</t>
  </si>
  <si>
    <t>T-Card Board</t>
  </si>
  <si>
    <t>Digital drag-and-drop board</t>
  </si>
  <si>
    <t>Full-screen shop-floor board with all 10 production stages. Drag a card to move a job; everything updates automatically.</t>
  </si>
  <si>
    <t>View by stage or by operative</t>
  </si>
  <si>
    <t>See the pipeline by production stage, or exactly what each team member is working on.</t>
  </si>
  <si>
    <t>Time tracking</t>
  </si>
  <si>
    <t>Operatives start/stop timers on tickets; every work session is recorded with live running clocks.</t>
  </si>
  <si>
    <t>Cure timers</t>
  </si>
  <si>
    <t>Gel-coat and laminating cure countdowns shown on cards, with product-specific default times.</t>
  </si>
  <si>
    <t>Cure prompt on stage change</t>
  </si>
  <si>
    <t>Dragging into Gel Coat / Laminating asks for the cure time (with presets); "needs more time" option when a cure is not ready.</t>
  </si>
  <si>
    <t>Right-click quick menu</t>
  </si>
  <si>
    <t>Assign/unassign operatives and stop all timers straight from a card.</t>
  </si>
  <si>
    <t>Bulk assign and bulk stage move</t>
  </si>
  <si>
    <t>Select several cards and assign an operative or move them all to a stage in one action.</t>
  </si>
  <si>
    <t>Order colour coding</t>
  </si>
  <si>
    <t>Each order gets a colour palette so its cards are recognisable at a glance across the board.</t>
  </si>
  <si>
    <t>View specification from card</t>
  </si>
  <si>
    <t>Open the product spec document straight from a ticket card.</t>
  </si>
  <si>
    <t>PIN-locked screen</t>
  </si>
  <si>
    <t>Board locks against accidental changes; manager PIN unlocks.</t>
  </si>
  <si>
    <t>Orders</t>
  </si>
  <si>
    <t>Guided two-step order creation</t>
  </si>
  <si>
    <t>Enter order details, then add items picked from the catalogue by name, code or SKU - prices and hours fill in automatically.</t>
  </si>
  <si>
    <t>Suggested schedule</t>
  </si>
  <si>
    <t>System suggests a production week and delivery date based on real factory capacity - accept with one click.</t>
  </si>
  <si>
    <t>Order list with filters and export</t>
  </si>
  <si>
    <t>Search, per-column filters, status filter, progress bars, deadline countdowns, overdue badges, CSV export and pagination.</t>
  </si>
  <si>
    <t>Bulk order import</t>
  </si>
  <si>
    <t>Load many orders from a spreadsheet - downloadable template, automatic checking and preview before saving.</t>
  </si>
  <si>
    <t>Pending order release</t>
  </si>
  <si>
    <t>Review pending orders and release them to production - ticket numbers are issued at release.</t>
  </si>
  <si>
    <t>Order detail page</t>
  </si>
  <si>
    <t>Everything about one order in one place - status, customer, deadline, value, tickets, colour theme images and full change history.</t>
  </si>
  <si>
    <t>Edit orders and tickets</t>
  </si>
  <si>
    <t>Order details and individual tickets can be edited after creation.</t>
  </si>
  <si>
    <t>Delete order (PIN-protected)</t>
  </si>
  <si>
    <t>Whole order deletion with manager PIN and explicit confirmation.</t>
  </si>
  <si>
    <t>Bulk advance within an order</t>
  </si>
  <si>
    <t>Tick tickets on the order page and advance them one stage or straight to a chosen stage.</t>
  </si>
  <si>
    <t>Production Workflow</t>
  </si>
  <si>
    <t>Four ticket types</t>
  </si>
  <si>
    <t>Bought-in materials (RAW), single slides (MADE), assemblies (COMP) and their parts (PART).</t>
  </si>
  <si>
    <t>Automatic assembly roll-up</t>
  </si>
  <si>
    <t>Assemblies show "Awaiting Parts (x/y)" until parts pass QC, then move to Assembly automatically; progress averages the parts.</t>
  </si>
  <si>
    <t>Automatic progress %</t>
  </si>
  <si>
    <t>Every stage carries a completion percentage so progress bars are always consistent.</t>
  </si>
  <si>
    <t>Despatch family gate</t>
  </si>
  <si>
    <t>An assembly and all its parts must be at Ready to Despatch before despatching - with a logged manager override.</t>
  </si>
  <si>
    <t>QC reference gate</t>
  </si>
  <si>
    <t>Tickets cannot enter Packing without a QC reference; the system prompts for one.</t>
  </si>
  <si>
    <t>Packing hardware checklist</t>
  </si>
  <si>
    <t>Advancing to Packing shows the product hardware checklist (bolt packs, feet, supports) to tick off, with quantities and notes saved.</t>
  </si>
  <si>
    <t>Return to production override</t>
  </si>
  <si>
    <t>A despatched ticket can be brought back to QC by a manager (PIN + confirmation, logged).</t>
  </si>
  <si>
    <t>Despatch &amp; Invoicing</t>
  </si>
  <si>
    <t>Despatch station</t>
  </si>
  <si>
    <t>Ready to Despatch screen with ticket selection and one-click despatch of full or part orders.</t>
  </si>
  <si>
    <t>Partial despatch handling</t>
  </si>
  <si>
    <t>Warns when not all items are selected; despatch note is flagged PARTIAL; invoice held until the full order ships.</t>
  </si>
  <si>
    <t>Delivery note generation</t>
  </si>
  <si>
    <t>Printable delivery note created automatically at despatch.</t>
  </si>
  <si>
    <t>Invoice generation</t>
  </si>
  <si>
    <t>Printable invoice raised when the order fully ships; printing the invoice marks the order Completed.</t>
  </si>
  <si>
    <t>Reprints</t>
  </si>
  <si>
    <t>Reprint delivery notes and invoice copies for past orders at any time.</t>
  </si>
  <si>
    <t>Planning &amp; Schedule</t>
  </si>
  <si>
    <t>16-week capacity planner</t>
  </si>
  <si>
    <t>Every operative, day by day, week by week - click any day to adjust.</t>
  </si>
  <si>
    <t>Week-specific overrides</t>
  </si>
  <si>
    <t>Set different hours for a single week (holidays, overtime) without changing the standard pattern.</t>
  </si>
  <si>
    <t>Skills matrix</t>
  </si>
  <si>
    <t>Record which stages each operative is trained for; feeds the stage capacity checks.</t>
  </si>
  <si>
    <t>Weekly schedule cards</t>
  </si>
  <si>
    <t>Every ticket booked into each week with utilisation bars and overload warnings.</t>
  </si>
  <si>
    <t>Schedule history</t>
  </si>
  <si>
    <t>Week-by-week record of tickets, committed hours and utilisation.</t>
  </si>
  <si>
    <t>Hours export</t>
  </si>
  <si>
    <t>Export operative hours over a date range to a spreadsheet.</t>
  </si>
  <si>
    <t>Moulds</t>
  </si>
  <si>
    <t>Mould register</t>
  </si>
  <si>
    <t>Every mould with reference, capacity, status and notes - spreadsheet import and export.</t>
  </si>
  <si>
    <t>Live mould board</t>
  </si>
  <si>
    <t>Free / partial / full / maintenance status for every mould, with what is in it now and what is queued.</t>
  </si>
  <si>
    <t>Mould schedule</t>
  </si>
  <si>
    <t>Week-by-week timeline of which jobs occupy which moulds.</t>
  </si>
  <si>
    <t>Smart auto-advance</t>
  </si>
  <si>
    <t>Assigning a free mould to a queued ticket moves it into Gel Coat automatically; will not overfill or use a maintenance mould.</t>
  </si>
  <si>
    <t>Tickets without mould list</t>
  </si>
  <si>
    <t>Jobs that cannot proceed without a mould, with one-click assignment.</t>
  </si>
  <si>
    <t>Catalogue part-mould linking</t>
  </si>
  <si>
    <t>Link catalogue parts to their default moulds directly from the mould planner.</t>
  </si>
  <si>
    <t>Product Catalogue</t>
  </si>
  <si>
    <t>Product templates</t>
  </si>
  <si>
    <t>Define each product once (code, name, SKU, price, hours) and reuse on every order - single slides and multi-part assemblies.</t>
  </si>
  <si>
    <t>Hardware and cure times</t>
  </si>
  <si>
    <t>Packing hardware lists and standard gel/laminating cure minutes per product.</t>
  </si>
  <si>
    <t>Specification documents</t>
  </si>
  <si>
    <t>Attach a spec sheet (PDF/image) to any product; black-and-white print view for the shop floor.</t>
  </si>
  <si>
    <t>SKU auto-generator</t>
  </si>
  <si>
    <t>Builds shop-floor SKUs from product names in bulk, with preview before saving.</t>
  </si>
  <si>
    <t>Catalogue import/export</t>
  </si>
  <si>
    <t>Spreadsheet import wizard (with template) and full CSV export.</t>
  </si>
  <si>
    <t>Customers &amp; Team</t>
  </si>
  <si>
    <t>Customer directory</t>
  </si>
  <si>
    <t>Contacts with phone, email, region and address; instant search; quick-add from the order form.</t>
  </si>
  <si>
    <t>Operative profiles</t>
  </si>
  <si>
    <t>Name, hourly rate, standard weekly pattern (Mon-Sun) and stage skills.</t>
  </si>
  <si>
    <t>Stage completion weightings</t>
  </si>
  <si>
    <t>Managers tune how much labour remains at each stage - drives man-hours and lead-time calculations.</t>
  </si>
  <si>
    <t>Search</t>
  </si>
  <si>
    <t>Global search bar</t>
  </si>
  <si>
    <t>On every page - type a ticket number, order number, site or item and jump straight to it.</t>
  </si>
  <si>
    <t>Full search page</t>
  </si>
  <si>
    <t>All matching orders and tickets together, click through to details.</t>
  </si>
  <si>
    <t>Hide maintenance moulds in all dropdowns</t>
  </si>
  <si>
    <t>Maintenance moulds are hidden in the mould planner assign list but still appear in the order-page and ticket-popup dropdowns.</t>
  </si>
  <si>
    <t>Live status in mould register</t>
  </si>
  <si>
    <t>Register status column shows Active/Maintenance; original tool showed live Free/Partial/Full occupancy.</t>
  </si>
  <si>
    <t>Bowson GRP - Feature Tracker</t>
  </si>
  <si>
    <t>Prepared 11 July 2026 - status as delivered</t>
  </si>
  <si>
    <t>Count</t>
  </si>
  <si>
    <t>Completed (included in project)</t>
  </si>
  <si>
    <t>Planned (minor improvements)</t>
  </si>
  <si>
    <t>Proposed (new requests to quote)</t>
  </si>
  <si>
    <t>How to use this sheet</t>
  </si>
  <si>
    <t>1. The Feature Tracker tab lists every feature in the system, grouped by module.</t>
  </si>
  <si>
    <t>2. Status meanings:</t>
  </si>
  <si>
    <t xml:space="preserve">     Completed - delivered and included in the current project price.</t>
  </si>
  <si>
    <t xml:space="preserve">     Planned   - agreed minor improvement, in progress at no extra charge unless stated.</t>
  </si>
  <si>
    <t xml:space="preserve">     Proposed  - a new feature request awaiting a quote.</t>
  </si>
  <si>
    <t>3. To request a new feature: add a row under Future Enhancements, describe it, set Status to Proposed. The agreed price is entered in the Pricing (£) column.</t>
  </si>
  <si>
    <t>4. Once a proposed feature is agreed and delivered, its status changes to Completed.</t>
  </si>
  <si>
    <t>Factory PIN sign-in</t>
  </si>
  <si>
    <t>Tap-your-name sign-in screen: every operative appears as a card (with a live On Shift indicator) plus a Manager Login button, then a big-button PIN pad. Designed for a shared workshop screen or tablet - no usernames or email addresses.</t>
  </si>
  <si>
    <t>Manager-set operative PINs</t>
  </si>
  <si>
    <t>Each operative has their own sign-in PIN, set by the manager in the operative profile (default 1234 until set). The manager PIN itself is changeable in Settings. PINs are never visible to operatives.</t>
  </si>
  <si>
    <t>Shop Floor (Operative App)</t>
  </si>
  <si>
    <t>My Tickets with live time tracking</t>
  </si>
  <si>
    <t>Operatives see the jobs they are clocked onto, each with a live running timer, Pause, and one-tap Stage Done that moves the job on and stops the clock. Cure countdowns show a Ready-Advance prompt; a Completed Today list totals hours logged.</t>
  </si>
  <si>
    <t>Available work - tap to join</t>
  </si>
  <si>
    <t>The queue of tickets at the operative's allocated stages (from their skills profile). One tap on Join assigns them and starts their timer; shows who else is already working on each job.</t>
  </si>
  <si>
    <t>Shop-floor board (read-only)</t>
  </si>
  <si>
    <t>A live stage-by-stage view of the whole board showing who is working on what right now.</t>
  </si>
  <si>
    <t>End Shift and sign-out safeguards</t>
  </si>
  <si>
    <t>One tap stops all the operative's running timers; signing out with timers still running asks first so no time is lost.</t>
  </si>
  <si>
    <t xml:space="preserve"> Manager and Operative levels. Operatives can work tickets on the shop floor but cannot create or delete orders, change settings or edit the catalogue.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</si>
</sst>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C6B5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C6B50"/>
        <bgColor indexed="64"/>
      </patternFill>
    </fill>
    <fill>
      <patternFill patternType="solid">
        <fgColor rgb="FFDFF2EB"/>
        <bgColor indexed="64"/>
      </patternFill>
    </fill>
  </fills>
  <borders count="2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vertical="top"/>
    </xf>
    <xf numFmtId="0" fontId="4" fillId="0" borderId="0" xfId="0" applyFont="1"/>
    <xf numFmtId="0" fontId="5" fillId="0" borderId="0" xfId="0" applyFont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4"/>
  <sheetViews>
    <sheetView tabSelected="1" topLeftCell="B1" workbookViewId="0">
      <pane ySplit="1" topLeftCell="A2" activePane="bottomLeft" state="frozenSplit"/>
      <selection pane="bottomLeft" activeCell="D25" sqref="D25"/>
    </sheetView>
  </sheetViews>
  <sheetFormatPr defaultRowHeight="15"/>
  <cols>
    <col min="1" max="1" width="4.28515625" bestFit="1" customWidth="1"/>
    <col min="2" max="2" width="25.7109375" bestFit="1" customWidth="1"/>
    <col min="3" max="3" width="40.28515625" bestFit="1" customWidth="1"/>
    <col min="4" max="4" width="72.7109375" style="3" customWidth="1"/>
    <col min="5" max="5" width="19.140625" customWidth="1"/>
    <col min="6" max="6" width="15.5703125" style="3" customWidth="1"/>
  </cols>
  <sheetData>
    <row r="1" spans="1:6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5" t="s">
        <v>5</v>
      </c>
    </row>
    <row r="2" spans="1:6" ht="30">
      <c r="A2" s="6">
        <v>1</v>
      </c>
      <c r="B2" s="6" t="s">
        <v>6</v>
      </c>
      <c r="C2" s="6" t="s">
        <v>7</v>
      </c>
      <c r="D2" s="7" t="s">
        <v>8</v>
      </c>
      <c r="E2" s="8" t="s">
        <v>9</v>
      </c>
      <c r="F2" s="7"/>
    </row>
    <row r="3" spans="1:6" ht="60">
      <c r="A3" s="6">
        <v>2</v>
      </c>
      <c r="B3" s="6" t="s">
        <v>6</v>
      </c>
      <c r="C3" s="6" t="s">
        <v>165</v>
      </c>
      <c r="D3" s="7" t="s">
        <v>166</v>
      </c>
      <c r="E3" s="8" t="s">
        <v>9</v>
      </c>
      <c r="F3" s="7"/>
    </row>
    <row r="4" spans="1:6" ht="30">
      <c r="A4" s="6">
        <v>3</v>
      </c>
      <c r="B4" s="6" t="s">
        <v>6</v>
      </c>
      <c r="C4" s="6" t="s">
        <v>10</v>
      </c>
      <c r="D4" s="7" t="s">
        <v>178</v>
      </c>
      <c r="E4" s="8" t="s">
        <v>9</v>
      </c>
      <c r="F4" s="7"/>
    </row>
    <row r="5" spans="1:6" ht="30">
      <c r="A5" s="6">
        <v>4</v>
      </c>
      <c r="B5" s="6" t="s">
        <v>6</v>
      </c>
      <c r="C5" s="6" t="s">
        <v>11</v>
      </c>
      <c r="D5" s="7" t="s">
        <v>12</v>
      </c>
      <c r="E5" s="8" t="s">
        <v>9</v>
      </c>
      <c r="F5" s="7"/>
    </row>
    <row r="6" spans="1:6" ht="30">
      <c r="A6" s="6">
        <v>5</v>
      </c>
      <c r="B6" s="6" t="s">
        <v>6</v>
      </c>
      <c r="C6" s="6" t="s">
        <v>13</v>
      </c>
      <c r="D6" s="7" t="s">
        <v>14</v>
      </c>
      <c r="E6" s="8" t="s">
        <v>9</v>
      </c>
      <c r="F6" s="7"/>
    </row>
    <row r="7" spans="1:6" ht="45">
      <c r="A7" s="6">
        <v>6</v>
      </c>
      <c r="B7" s="6" t="s">
        <v>6</v>
      </c>
      <c r="C7" s="6" t="s">
        <v>167</v>
      </c>
      <c r="D7" s="7" t="s">
        <v>168</v>
      </c>
      <c r="E7" s="8" t="s">
        <v>9</v>
      </c>
      <c r="F7" s="7"/>
    </row>
    <row r="8" spans="1:6" ht="30">
      <c r="A8" s="6">
        <v>7</v>
      </c>
      <c r="B8" s="6" t="s">
        <v>15</v>
      </c>
      <c r="C8" s="6" t="s">
        <v>16</v>
      </c>
      <c r="D8" s="7" t="s">
        <v>17</v>
      </c>
      <c r="E8" s="8" t="s">
        <v>9</v>
      </c>
      <c r="F8" s="7"/>
    </row>
    <row r="9" spans="1:6" ht="30">
      <c r="A9" s="6">
        <v>8</v>
      </c>
      <c r="B9" s="6" t="s">
        <v>15</v>
      </c>
      <c r="C9" s="6" t="s">
        <v>18</v>
      </c>
      <c r="D9" s="7" t="s">
        <v>19</v>
      </c>
      <c r="E9" s="8" t="s">
        <v>9</v>
      </c>
      <c r="F9" s="7"/>
    </row>
    <row r="10" spans="1:6">
      <c r="A10" s="6">
        <v>9</v>
      </c>
      <c r="B10" s="6" t="s">
        <v>15</v>
      </c>
      <c r="C10" s="6" t="s">
        <v>20</v>
      </c>
      <c r="D10" s="7" t="s">
        <v>21</v>
      </c>
      <c r="E10" s="8" t="s">
        <v>9</v>
      </c>
      <c r="F10" s="7"/>
    </row>
    <row r="11" spans="1:6">
      <c r="A11" s="6">
        <v>10</v>
      </c>
      <c r="B11" s="6" t="s">
        <v>15</v>
      </c>
      <c r="C11" s="6" t="s">
        <v>22</v>
      </c>
      <c r="D11" s="7" t="s">
        <v>23</v>
      </c>
      <c r="E11" s="8" t="s">
        <v>9</v>
      </c>
      <c r="F11" s="7"/>
    </row>
    <row r="12" spans="1:6">
      <c r="A12" s="6">
        <v>11</v>
      </c>
      <c r="B12" s="6" t="s">
        <v>15</v>
      </c>
      <c r="C12" s="6" t="s">
        <v>24</v>
      </c>
      <c r="D12" s="7" t="s">
        <v>25</v>
      </c>
      <c r="E12" s="8" t="s">
        <v>9</v>
      </c>
      <c r="F12" s="7"/>
    </row>
    <row r="13" spans="1:6">
      <c r="A13" s="6">
        <v>12</v>
      </c>
      <c r="B13" s="6" t="s">
        <v>15</v>
      </c>
      <c r="C13" s="6" t="s">
        <v>26</v>
      </c>
      <c r="D13" s="7" t="s">
        <v>27</v>
      </c>
      <c r="E13" s="8" t="s">
        <v>9</v>
      </c>
      <c r="F13" s="7"/>
    </row>
    <row r="14" spans="1:6">
      <c r="A14" s="6">
        <v>13</v>
      </c>
      <c r="B14" s="6" t="s">
        <v>15</v>
      </c>
      <c r="C14" s="6" t="s">
        <v>28</v>
      </c>
      <c r="D14" s="7" t="s">
        <v>29</v>
      </c>
      <c r="E14" s="8" t="s">
        <v>9</v>
      </c>
      <c r="F14" s="7"/>
    </row>
    <row r="15" spans="1:6" ht="30">
      <c r="A15" s="6">
        <v>14</v>
      </c>
      <c r="B15" s="6" t="s">
        <v>15</v>
      </c>
      <c r="C15" s="6" t="s">
        <v>30</v>
      </c>
      <c r="D15" s="7" t="s">
        <v>31</v>
      </c>
      <c r="E15" s="8" t="s">
        <v>9</v>
      </c>
      <c r="F15" s="7"/>
    </row>
    <row r="16" spans="1:6" ht="30">
      <c r="A16" s="6">
        <v>15</v>
      </c>
      <c r="B16" s="6" t="s">
        <v>32</v>
      </c>
      <c r="C16" s="6" t="s">
        <v>33</v>
      </c>
      <c r="D16" s="7" t="s">
        <v>34</v>
      </c>
      <c r="E16" s="8" t="s">
        <v>9</v>
      </c>
      <c r="F16" s="7"/>
    </row>
    <row r="17" spans="1:6" ht="30">
      <c r="A17" s="6">
        <v>16</v>
      </c>
      <c r="B17" s="6" t="s">
        <v>32</v>
      </c>
      <c r="C17" s="6" t="s">
        <v>35</v>
      </c>
      <c r="D17" s="7" t="s">
        <v>36</v>
      </c>
      <c r="E17" s="8" t="s">
        <v>9</v>
      </c>
      <c r="F17" s="7"/>
    </row>
    <row r="18" spans="1:6" ht="30">
      <c r="A18" s="6">
        <v>17</v>
      </c>
      <c r="B18" s="6" t="s">
        <v>32</v>
      </c>
      <c r="C18" s="6" t="s">
        <v>37</v>
      </c>
      <c r="D18" s="7" t="s">
        <v>38</v>
      </c>
      <c r="E18" s="8" t="s">
        <v>9</v>
      </c>
      <c r="F18" s="7"/>
    </row>
    <row r="19" spans="1:6" ht="30">
      <c r="A19" s="6">
        <v>18</v>
      </c>
      <c r="B19" s="6" t="s">
        <v>32</v>
      </c>
      <c r="C19" s="6" t="s">
        <v>39</v>
      </c>
      <c r="D19" s="7" t="s">
        <v>40</v>
      </c>
      <c r="E19" s="8" t="s">
        <v>9</v>
      </c>
      <c r="F19" s="7"/>
    </row>
    <row r="20" spans="1:6" ht="30">
      <c r="A20" s="6">
        <v>19</v>
      </c>
      <c r="B20" s="6" t="s">
        <v>32</v>
      </c>
      <c r="C20" s="6" t="s">
        <v>41</v>
      </c>
      <c r="D20" s="7" t="s">
        <v>42</v>
      </c>
      <c r="E20" s="8" t="s">
        <v>9</v>
      </c>
      <c r="F20" s="7"/>
    </row>
    <row r="21" spans="1:6">
      <c r="A21" s="6">
        <v>20</v>
      </c>
      <c r="B21" s="6" t="s">
        <v>32</v>
      </c>
      <c r="C21" s="6" t="s">
        <v>43</v>
      </c>
      <c r="D21" s="7" t="s">
        <v>44</v>
      </c>
      <c r="E21" s="8" t="s">
        <v>9</v>
      </c>
      <c r="F21" s="7"/>
    </row>
    <row r="22" spans="1:6" ht="30">
      <c r="A22" s="6">
        <v>21</v>
      </c>
      <c r="B22" s="6" t="s">
        <v>32</v>
      </c>
      <c r="C22" s="6" t="s">
        <v>45</v>
      </c>
      <c r="D22" s="7" t="s">
        <v>46</v>
      </c>
      <c r="E22" s="8" t="s">
        <v>9</v>
      </c>
      <c r="F22" s="7"/>
    </row>
    <row r="23" spans="1:6" ht="30">
      <c r="A23" s="6">
        <v>22</v>
      </c>
      <c r="B23" s="6" t="s">
        <v>32</v>
      </c>
      <c r="C23" s="6" t="s">
        <v>47</v>
      </c>
      <c r="D23" s="7" t="s">
        <v>48</v>
      </c>
      <c r="E23" s="8" t="s">
        <v>9</v>
      </c>
      <c r="F23" s="7"/>
    </row>
    <row r="24" spans="1:6">
      <c r="A24" s="6">
        <v>23</v>
      </c>
      <c r="B24" s="6" t="s">
        <v>32</v>
      </c>
      <c r="C24" s="6" t="s">
        <v>49</v>
      </c>
      <c r="D24" s="7" t="s">
        <v>50</v>
      </c>
      <c r="E24" s="8" t="s">
        <v>9</v>
      </c>
      <c r="F24" s="7"/>
    </row>
    <row r="25" spans="1:6">
      <c r="A25" s="6">
        <v>24</v>
      </c>
      <c r="B25" s="6" t="s">
        <v>32</v>
      </c>
      <c r="C25" s="6" t="s">
        <v>51</v>
      </c>
      <c r="D25" s="7" t="s">
        <v>52</v>
      </c>
      <c r="E25" s="8" t="s">
        <v>9</v>
      </c>
      <c r="F25" s="7"/>
    </row>
    <row r="26" spans="1:6" ht="60">
      <c r="A26" s="6">
        <v>25</v>
      </c>
      <c r="B26" s="6" t="s">
        <v>169</v>
      </c>
      <c r="C26" s="6" t="s">
        <v>170</v>
      </c>
      <c r="D26" s="7" t="s">
        <v>171</v>
      </c>
      <c r="E26" s="8" t="s">
        <v>9</v>
      </c>
      <c r="F26" s="7"/>
    </row>
    <row r="27" spans="1:6" ht="45">
      <c r="A27" s="6">
        <v>26</v>
      </c>
      <c r="B27" s="6" t="s">
        <v>169</v>
      </c>
      <c r="C27" s="6" t="s">
        <v>172</v>
      </c>
      <c r="D27" s="7" t="s">
        <v>173</v>
      </c>
      <c r="E27" s="8" t="s">
        <v>9</v>
      </c>
      <c r="F27" s="7"/>
    </row>
    <row r="28" spans="1:6" ht="30">
      <c r="A28" s="6">
        <v>27</v>
      </c>
      <c r="B28" s="6" t="s">
        <v>169</v>
      </c>
      <c r="C28" s="6" t="s">
        <v>174</v>
      </c>
      <c r="D28" s="7" t="s">
        <v>175</v>
      </c>
      <c r="E28" s="8" t="s">
        <v>9</v>
      </c>
      <c r="F28" s="7"/>
    </row>
    <row r="29" spans="1:6" ht="30">
      <c r="A29" s="6">
        <v>28</v>
      </c>
      <c r="B29" s="6" t="s">
        <v>169</v>
      </c>
      <c r="C29" s="6" t="s">
        <v>176</v>
      </c>
      <c r="D29" s="7" t="s">
        <v>177</v>
      </c>
      <c r="E29" s="8" t="s">
        <v>9</v>
      </c>
      <c r="F29" s="7"/>
    </row>
    <row r="30" spans="1:6" ht="30">
      <c r="A30" s="6">
        <v>29</v>
      </c>
      <c r="B30" s="6" t="s">
        <v>53</v>
      </c>
      <c r="C30" s="6" t="s">
        <v>54</v>
      </c>
      <c r="D30" s="7" t="s">
        <v>55</v>
      </c>
      <c r="E30" s="8" t="s">
        <v>9</v>
      </c>
      <c r="F30" s="7"/>
    </row>
    <row r="31" spans="1:6" ht="30">
      <c r="A31" s="6">
        <v>30</v>
      </c>
      <c r="B31" s="6" t="s">
        <v>53</v>
      </c>
      <c r="C31" s="6" t="s">
        <v>56</v>
      </c>
      <c r="D31" s="7" t="s">
        <v>57</v>
      </c>
      <c r="E31" s="8" t="s">
        <v>9</v>
      </c>
      <c r="F31" s="7"/>
    </row>
    <row r="32" spans="1:6" ht="30">
      <c r="A32" s="6">
        <v>31</v>
      </c>
      <c r="B32" s="6" t="s">
        <v>53</v>
      </c>
      <c r="C32" s="6" t="s">
        <v>58</v>
      </c>
      <c r="D32" s="7" t="s">
        <v>59</v>
      </c>
      <c r="E32" s="8" t="s">
        <v>9</v>
      </c>
      <c r="F32" s="7"/>
    </row>
    <row r="33" spans="1:6" ht="30">
      <c r="A33" s="6">
        <v>32</v>
      </c>
      <c r="B33" s="6" t="s">
        <v>53</v>
      </c>
      <c r="C33" s="6" t="s">
        <v>60</v>
      </c>
      <c r="D33" s="7" t="s">
        <v>61</v>
      </c>
      <c r="E33" s="8" t="s">
        <v>9</v>
      </c>
      <c r="F33" s="7"/>
    </row>
    <row r="34" spans="1:6" ht="30">
      <c r="A34" s="6">
        <v>33</v>
      </c>
      <c r="B34" s="6" t="s">
        <v>53</v>
      </c>
      <c r="C34" s="6" t="s">
        <v>62</v>
      </c>
      <c r="D34" s="7" t="s">
        <v>63</v>
      </c>
      <c r="E34" s="8" t="s">
        <v>9</v>
      </c>
      <c r="F34" s="7"/>
    </row>
    <row r="35" spans="1:6" ht="30">
      <c r="A35" s="6">
        <v>34</v>
      </c>
      <c r="B35" s="6" t="s">
        <v>53</v>
      </c>
      <c r="C35" s="6" t="s">
        <v>64</v>
      </c>
      <c r="D35" s="7" t="s">
        <v>65</v>
      </c>
      <c r="E35" s="8" t="s">
        <v>9</v>
      </c>
      <c r="F35" s="7"/>
    </row>
    <row r="36" spans="1:6">
      <c r="A36" s="6">
        <v>35</v>
      </c>
      <c r="B36" s="6" t="s">
        <v>53</v>
      </c>
      <c r="C36" s="6" t="s">
        <v>66</v>
      </c>
      <c r="D36" s="7" t="s">
        <v>67</v>
      </c>
      <c r="E36" s="8" t="s">
        <v>9</v>
      </c>
      <c r="F36" s="7"/>
    </row>
    <row r="37" spans="1:6">
      <c r="A37" s="6">
        <v>36</v>
      </c>
      <c r="B37" s="6" t="s">
        <v>53</v>
      </c>
      <c r="C37" s="6" t="s">
        <v>68</v>
      </c>
      <c r="D37" s="7" t="s">
        <v>69</v>
      </c>
      <c r="E37" s="8" t="s">
        <v>9</v>
      </c>
      <c r="F37" s="7"/>
    </row>
    <row r="38" spans="1:6" ht="30">
      <c r="A38" s="6">
        <v>37</v>
      </c>
      <c r="B38" s="6" t="s">
        <v>53</v>
      </c>
      <c r="C38" s="6" t="s">
        <v>70</v>
      </c>
      <c r="D38" s="7" t="s">
        <v>71</v>
      </c>
      <c r="E38" s="8" t="s">
        <v>9</v>
      </c>
      <c r="F38" s="7"/>
    </row>
    <row r="39" spans="1:6" ht="30">
      <c r="A39" s="6">
        <v>38</v>
      </c>
      <c r="B39" s="6" t="s">
        <v>72</v>
      </c>
      <c r="C39" s="6" t="s">
        <v>73</v>
      </c>
      <c r="D39" s="7" t="s">
        <v>74</v>
      </c>
      <c r="E39" s="8" t="s">
        <v>9</v>
      </c>
      <c r="F39" s="7"/>
    </row>
    <row r="40" spans="1:6" ht="30">
      <c r="A40" s="6">
        <v>39</v>
      </c>
      <c r="B40" s="6" t="s">
        <v>72</v>
      </c>
      <c r="C40" s="6" t="s">
        <v>75</v>
      </c>
      <c r="D40" s="7" t="s">
        <v>76</v>
      </c>
      <c r="E40" s="8" t="s">
        <v>9</v>
      </c>
      <c r="F40" s="7"/>
    </row>
    <row r="41" spans="1:6" ht="30">
      <c r="A41" s="6">
        <v>40</v>
      </c>
      <c r="B41" s="6" t="s">
        <v>72</v>
      </c>
      <c r="C41" s="6" t="s">
        <v>77</v>
      </c>
      <c r="D41" s="7" t="s">
        <v>78</v>
      </c>
      <c r="E41" s="8" t="s">
        <v>9</v>
      </c>
      <c r="F41" s="7"/>
    </row>
    <row r="42" spans="1:6" ht="30">
      <c r="A42" s="6">
        <v>41</v>
      </c>
      <c r="B42" s="6" t="s">
        <v>72</v>
      </c>
      <c r="C42" s="6" t="s">
        <v>79</v>
      </c>
      <c r="D42" s="7" t="s">
        <v>80</v>
      </c>
      <c r="E42" s="8" t="s">
        <v>9</v>
      </c>
      <c r="F42" s="7"/>
    </row>
    <row r="43" spans="1:6" ht="30">
      <c r="A43" s="6">
        <v>42</v>
      </c>
      <c r="B43" s="6" t="s">
        <v>72</v>
      </c>
      <c r="C43" s="6" t="s">
        <v>81</v>
      </c>
      <c r="D43" s="7" t="s">
        <v>82</v>
      </c>
      <c r="E43" s="8" t="s">
        <v>9</v>
      </c>
      <c r="F43" s="7"/>
    </row>
    <row r="44" spans="1:6" ht="30">
      <c r="A44" s="6">
        <v>43</v>
      </c>
      <c r="B44" s="6" t="s">
        <v>72</v>
      </c>
      <c r="C44" s="6" t="s">
        <v>83</v>
      </c>
      <c r="D44" s="7" t="s">
        <v>84</v>
      </c>
      <c r="E44" s="8" t="s">
        <v>9</v>
      </c>
      <c r="F44" s="7"/>
    </row>
    <row r="45" spans="1:6" ht="30">
      <c r="A45" s="6">
        <v>44</v>
      </c>
      <c r="B45" s="6" t="s">
        <v>72</v>
      </c>
      <c r="C45" s="6" t="s">
        <v>85</v>
      </c>
      <c r="D45" s="7" t="s">
        <v>86</v>
      </c>
      <c r="E45" s="8" t="s">
        <v>9</v>
      </c>
      <c r="F45" s="7"/>
    </row>
    <row r="46" spans="1:6" ht="30">
      <c r="A46" s="6">
        <v>45</v>
      </c>
      <c r="B46" s="6" t="s">
        <v>87</v>
      </c>
      <c r="C46" s="6" t="s">
        <v>88</v>
      </c>
      <c r="D46" s="7" t="s">
        <v>89</v>
      </c>
      <c r="E46" s="8" t="s">
        <v>9</v>
      </c>
      <c r="F46" s="7"/>
    </row>
    <row r="47" spans="1:6" ht="30">
      <c r="A47" s="6">
        <v>46</v>
      </c>
      <c r="B47" s="6" t="s">
        <v>87</v>
      </c>
      <c r="C47" s="6" t="s">
        <v>90</v>
      </c>
      <c r="D47" s="7" t="s">
        <v>91</v>
      </c>
      <c r="E47" s="8" t="s">
        <v>9</v>
      </c>
      <c r="F47" s="7"/>
    </row>
    <row r="48" spans="1:6">
      <c r="A48" s="6">
        <v>47</v>
      </c>
      <c r="B48" s="6" t="s">
        <v>87</v>
      </c>
      <c r="C48" s="6" t="s">
        <v>92</v>
      </c>
      <c r="D48" s="7" t="s">
        <v>93</v>
      </c>
      <c r="E48" s="8" t="s">
        <v>9</v>
      </c>
      <c r="F48" s="7"/>
    </row>
    <row r="49" spans="1:6" ht="30">
      <c r="A49" s="6">
        <v>48</v>
      </c>
      <c r="B49" s="6" t="s">
        <v>87</v>
      </c>
      <c r="C49" s="6" t="s">
        <v>94</v>
      </c>
      <c r="D49" s="7" t="s">
        <v>95</v>
      </c>
      <c r="E49" s="8" t="s">
        <v>9</v>
      </c>
      <c r="F49" s="7"/>
    </row>
    <row r="50" spans="1:6">
      <c r="A50" s="6">
        <v>49</v>
      </c>
      <c r="B50" s="6" t="s">
        <v>87</v>
      </c>
      <c r="C50" s="6" t="s">
        <v>96</v>
      </c>
      <c r="D50" s="7" t="s">
        <v>97</v>
      </c>
      <c r="E50" s="8" t="s">
        <v>9</v>
      </c>
      <c r="F50" s="7"/>
    </row>
    <row r="51" spans="1:6">
      <c r="A51" s="6">
        <v>50</v>
      </c>
      <c r="B51" s="6" t="s">
        <v>98</v>
      </c>
      <c r="C51" s="6" t="s">
        <v>99</v>
      </c>
      <c r="D51" s="7" t="s">
        <v>100</v>
      </c>
      <c r="E51" s="8" t="s">
        <v>9</v>
      </c>
      <c r="F51" s="7"/>
    </row>
    <row r="52" spans="1:6" ht="30">
      <c r="A52" s="6">
        <v>51</v>
      </c>
      <c r="B52" s="6" t="s">
        <v>98</v>
      </c>
      <c r="C52" s="6" t="s">
        <v>101</v>
      </c>
      <c r="D52" s="7" t="s">
        <v>102</v>
      </c>
      <c r="E52" s="8" t="s">
        <v>9</v>
      </c>
      <c r="F52" s="7"/>
    </row>
    <row r="53" spans="1:6" ht="30">
      <c r="A53" s="6">
        <v>52</v>
      </c>
      <c r="B53" s="6" t="s">
        <v>98</v>
      </c>
      <c r="C53" s="6" t="s">
        <v>103</v>
      </c>
      <c r="D53" s="7" t="s">
        <v>104</v>
      </c>
      <c r="E53" s="8" t="s">
        <v>9</v>
      </c>
      <c r="F53" s="7"/>
    </row>
    <row r="54" spans="1:6" ht="30">
      <c r="A54" s="6">
        <v>53</v>
      </c>
      <c r="B54" s="6" t="s">
        <v>98</v>
      </c>
      <c r="C54" s="6" t="s">
        <v>105</v>
      </c>
      <c r="D54" s="7" t="s">
        <v>106</v>
      </c>
      <c r="E54" s="8" t="s">
        <v>9</v>
      </c>
      <c r="F54" s="7"/>
    </row>
    <row r="55" spans="1:6">
      <c r="A55" s="6">
        <v>54</v>
      </c>
      <c r="B55" s="6" t="s">
        <v>98</v>
      </c>
      <c r="C55" s="6" t="s">
        <v>107</v>
      </c>
      <c r="D55" s="7" t="s">
        <v>108</v>
      </c>
      <c r="E55" s="8" t="s">
        <v>9</v>
      </c>
      <c r="F55" s="7"/>
    </row>
    <row r="56" spans="1:6">
      <c r="A56" s="6">
        <v>55</v>
      </c>
      <c r="B56" s="6" t="s">
        <v>98</v>
      </c>
      <c r="C56" s="6" t="s">
        <v>109</v>
      </c>
      <c r="D56" s="7" t="s">
        <v>110</v>
      </c>
      <c r="E56" s="8" t="s">
        <v>9</v>
      </c>
      <c r="F56" s="7"/>
    </row>
    <row r="57" spans="1:6" ht="30">
      <c r="A57" s="6">
        <v>56</v>
      </c>
      <c r="B57" s="6" t="s">
        <v>111</v>
      </c>
      <c r="C57" s="6" t="s">
        <v>112</v>
      </c>
      <c r="D57" s="7" t="s">
        <v>113</v>
      </c>
      <c r="E57" s="8" t="s">
        <v>9</v>
      </c>
      <c r="F57" s="7"/>
    </row>
    <row r="58" spans="1:6" ht="30">
      <c r="A58" s="6">
        <v>57</v>
      </c>
      <c r="B58" s="6" t="s">
        <v>111</v>
      </c>
      <c r="C58" s="6" t="s">
        <v>114</v>
      </c>
      <c r="D58" s="7" t="s">
        <v>115</v>
      </c>
      <c r="E58" s="8" t="s">
        <v>9</v>
      </c>
      <c r="F58" s="7"/>
    </row>
    <row r="59" spans="1:6">
      <c r="A59" s="6">
        <v>58</v>
      </c>
      <c r="B59" s="6" t="s">
        <v>111</v>
      </c>
      <c r="C59" s="6" t="s">
        <v>116</v>
      </c>
      <c r="D59" s="7" t="s">
        <v>117</v>
      </c>
      <c r="E59" s="8" t="s">
        <v>9</v>
      </c>
      <c r="F59" s="7"/>
    </row>
    <row r="60" spans="1:6" ht="30">
      <c r="A60" s="6">
        <v>59</v>
      </c>
      <c r="B60" s="6" t="s">
        <v>111</v>
      </c>
      <c r="C60" s="6" t="s">
        <v>118</v>
      </c>
      <c r="D60" s="7" t="s">
        <v>119</v>
      </c>
      <c r="E60" s="8" t="s">
        <v>9</v>
      </c>
      <c r="F60" s="7"/>
    </row>
    <row r="61" spans="1:6">
      <c r="A61" s="6">
        <v>60</v>
      </c>
      <c r="B61" s="6" t="s">
        <v>111</v>
      </c>
      <c r="C61" s="6" t="s">
        <v>120</v>
      </c>
      <c r="D61" s="7" t="s">
        <v>121</v>
      </c>
      <c r="E61" s="8" t="s">
        <v>9</v>
      </c>
      <c r="F61" s="7"/>
    </row>
    <row r="62" spans="1:6">
      <c r="A62" s="6">
        <v>61</v>
      </c>
      <c r="B62" s="6" t="s">
        <v>111</v>
      </c>
      <c r="C62" s="6" t="s">
        <v>122</v>
      </c>
      <c r="D62" s="7" t="s">
        <v>123</v>
      </c>
      <c r="E62" s="8" t="s">
        <v>9</v>
      </c>
      <c r="F62" s="7"/>
    </row>
    <row r="63" spans="1:6" ht="30">
      <c r="A63" s="6">
        <v>62</v>
      </c>
      <c r="B63" s="6" t="s">
        <v>124</v>
      </c>
      <c r="C63" s="6" t="s">
        <v>125</v>
      </c>
      <c r="D63" s="7" t="s">
        <v>126</v>
      </c>
      <c r="E63" s="8" t="s">
        <v>9</v>
      </c>
      <c r="F63" s="7"/>
    </row>
    <row r="64" spans="1:6">
      <c r="A64" s="6">
        <v>63</v>
      </c>
      <c r="B64" s="6" t="s">
        <v>124</v>
      </c>
      <c r="C64" s="6" t="s">
        <v>127</v>
      </c>
      <c r="D64" s="7" t="s">
        <v>128</v>
      </c>
      <c r="E64" s="8" t="s">
        <v>9</v>
      </c>
      <c r="F64" s="7"/>
    </row>
    <row r="65" spans="1:6" ht="30">
      <c r="A65" s="6">
        <v>64</v>
      </c>
      <c r="B65" s="6" t="s">
        <v>124</v>
      </c>
      <c r="C65" s="6" t="s">
        <v>129</v>
      </c>
      <c r="D65" s="7" t="s">
        <v>130</v>
      </c>
      <c r="E65" s="8" t="s">
        <v>9</v>
      </c>
      <c r="F65" s="7"/>
    </row>
    <row r="66" spans="1:6" ht="30">
      <c r="A66" s="6">
        <v>65</v>
      </c>
      <c r="B66" s="6" t="s">
        <v>124</v>
      </c>
      <c r="C66" s="6" t="s">
        <v>131</v>
      </c>
      <c r="D66" s="7" t="s">
        <v>132</v>
      </c>
      <c r="E66" s="8" t="s">
        <v>9</v>
      </c>
      <c r="F66" s="7"/>
    </row>
    <row r="67" spans="1:6">
      <c r="A67" s="6">
        <v>66</v>
      </c>
      <c r="B67" s="6" t="s">
        <v>124</v>
      </c>
      <c r="C67" s="6" t="s">
        <v>133</v>
      </c>
      <c r="D67" s="7" t="s">
        <v>134</v>
      </c>
      <c r="E67" s="8" t="s">
        <v>9</v>
      </c>
      <c r="F67" s="7"/>
    </row>
    <row r="68" spans="1:6" ht="30">
      <c r="A68" s="6">
        <v>67</v>
      </c>
      <c r="B68" s="6" t="s">
        <v>135</v>
      </c>
      <c r="C68" s="6" t="s">
        <v>136</v>
      </c>
      <c r="D68" s="7" t="s">
        <v>137</v>
      </c>
      <c r="E68" s="8" t="s">
        <v>9</v>
      </c>
      <c r="F68" s="7"/>
    </row>
    <row r="69" spans="1:6">
      <c r="A69" s="6">
        <v>68</v>
      </c>
      <c r="B69" s="6" t="s">
        <v>135</v>
      </c>
      <c r="C69" s="6" t="s">
        <v>138</v>
      </c>
      <c r="D69" s="7" t="s">
        <v>139</v>
      </c>
      <c r="E69" s="8" t="s">
        <v>9</v>
      </c>
      <c r="F69" s="7"/>
    </row>
    <row r="70" spans="1:6" ht="30">
      <c r="A70" s="6">
        <v>69</v>
      </c>
      <c r="B70" s="6" t="s">
        <v>135</v>
      </c>
      <c r="C70" s="6" t="s">
        <v>140</v>
      </c>
      <c r="D70" s="7" t="s">
        <v>141</v>
      </c>
      <c r="E70" s="8" t="s">
        <v>9</v>
      </c>
      <c r="F70" s="7"/>
    </row>
    <row r="71" spans="1:6" ht="30">
      <c r="A71" s="6">
        <v>70</v>
      </c>
      <c r="B71" s="6" t="s">
        <v>142</v>
      </c>
      <c r="C71" s="6" t="s">
        <v>143</v>
      </c>
      <c r="D71" s="7" t="s">
        <v>144</v>
      </c>
      <c r="E71" s="8" t="s">
        <v>9</v>
      </c>
      <c r="F71" s="7"/>
    </row>
    <row r="72" spans="1:6">
      <c r="A72" s="6">
        <v>71</v>
      </c>
      <c r="B72" s="6" t="s">
        <v>142</v>
      </c>
      <c r="C72" s="6" t="s">
        <v>145</v>
      </c>
      <c r="D72" s="7" t="s">
        <v>146</v>
      </c>
      <c r="E72" s="8" t="s">
        <v>9</v>
      </c>
      <c r="F72" s="7"/>
    </row>
    <row r="73" spans="1:6" ht="30">
      <c r="A73" s="6">
        <v>72</v>
      </c>
      <c r="B73" s="6" t="s">
        <v>111</v>
      </c>
      <c r="C73" s="6" t="s">
        <v>147</v>
      </c>
      <c r="D73" s="7" t="s">
        <v>148</v>
      </c>
      <c r="E73" s="8" t="s">
        <v>9</v>
      </c>
      <c r="F73" s="7"/>
    </row>
    <row r="74" spans="1:6" ht="30">
      <c r="A74" s="6">
        <v>73</v>
      </c>
      <c r="B74" s="6" t="s">
        <v>111</v>
      </c>
      <c r="C74" s="6" t="s">
        <v>149</v>
      </c>
      <c r="D74" s="7" t="s">
        <v>150</v>
      </c>
      <c r="E74" s="8" t="s">
        <v>9</v>
      </c>
      <c r="F74" s="7"/>
    </row>
  </sheetData>
  <autoFilter ref="A1:F1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95.7109375" customWidth="1"/>
    <col min="2" max="2" width="10.7109375" customWidth="1"/>
  </cols>
  <sheetData>
    <row r="1" spans="1:2" ht="21">
      <c r="A1" s="9" t="s">
        <v>151</v>
      </c>
    </row>
    <row r="2" spans="1:2">
      <c r="A2" s="10" t="s">
        <v>152</v>
      </c>
    </row>
    <row r="4" spans="1:2">
      <c r="A4" s="2" t="s">
        <v>4</v>
      </c>
      <c r="B4" s="2" t="s">
        <v>153</v>
      </c>
    </row>
    <row r="5" spans="1:2">
      <c r="A5" s="11" t="s">
        <v>154</v>
      </c>
      <c r="B5" s="11">
        <f>COUNTIF('Feature Tracker'!E:E,"Completed")</f>
        <v>73</v>
      </c>
    </row>
    <row r="6" spans="1:2">
      <c r="A6" s="11" t="s">
        <v>155</v>
      </c>
      <c r="B6" s="11">
        <f>COUNTIF('Feature Tracker'!E:E,"Planned")</f>
        <v>0</v>
      </c>
    </row>
    <row r="7" spans="1:2">
      <c r="A7" s="11" t="s">
        <v>156</v>
      </c>
      <c r="B7" s="11">
        <f>COUNTIF('Feature Tracker'!E:E,"Proposed")</f>
        <v>0</v>
      </c>
    </row>
    <row r="9" spans="1:2">
      <c r="A9" s="1" t="s">
        <v>157</v>
      </c>
    </row>
    <row r="10" spans="1:2">
      <c r="A10" t="s">
        <v>158</v>
      </c>
    </row>
    <row r="11" spans="1:2">
      <c r="A11" t="s">
        <v>159</v>
      </c>
    </row>
    <row r="12" spans="1:2">
      <c r="A12" t="s">
        <v>160</v>
      </c>
    </row>
    <row r="13" spans="1:2">
      <c r="A13" t="s">
        <v>161</v>
      </c>
    </row>
    <row r="14" spans="1:2">
      <c r="A14" t="s">
        <v>162</v>
      </c>
    </row>
    <row r="15" spans="1:2">
      <c r="A15" t="s">
        <v>163</v>
      </c>
    </row>
    <row r="16" spans="1:2">
      <c r="A16" t="s">
        <v>164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Tracker</vt:lpstr>
      <vt:lpstr>Summary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2026-07-11T04:36:53Z</dcterms:created>
  <dcterms:modified xsi:type="dcterms:W3CDTF">2026-07-11T08:39:50Z</dcterms:modified>
</cp:coreProperties>
</file>